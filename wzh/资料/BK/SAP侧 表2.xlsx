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GITEE\wzh-and-zx\wzh\资料\"/>
    </mc:Choice>
  </mc:AlternateContent>
  <xr:revisionPtr revIDLastSave="0" documentId="13_ncr:1_{95B32879-3619-40DF-8766-416A27A7B4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4" i="1" l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<sst xmlns="http://schemas.openxmlformats.org/spreadsheetml/2006/main" count="233" uniqueCount="162">
  <si>
    <t>SQL_SERVERテｰブル定義</t>
    <phoneticPr fontId="3"/>
  </si>
  <si>
    <t>System:</t>
    <phoneticPr fontId="3"/>
  </si>
  <si>
    <r>
      <t>配送系</t>
    </r>
    <r>
      <rPr>
        <sz val="11"/>
        <rFont val="宋体"/>
        <family val="3"/>
        <charset val="134"/>
      </rPr>
      <t>统国内贩卖</t>
    </r>
    <phoneticPr fontId="3"/>
  </si>
  <si>
    <t>Table:</t>
    <phoneticPr fontId="3"/>
  </si>
  <si>
    <t>TCM_BianPlan</t>
    <phoneticPr fontId="3"/>
  </si>
  <si>
    <t>Created:</t>
    <phoneticPr fontId="3"/>
  </si>
  <si>
    <t>SubSystem:</t>
    <phoneticPr fontId="3"/>
  </si>
  <si>
    <t>View:</t>
    <phoneticPr fontId="3"/>
  </si>
  <si>
    <t>Updated:</t>
  </si>
  <si>
    <t>Schima:</t>
    <phoneticPr fontId="3"/>
  </si>
  <si>
    <t>Synonym:</t>
  </si>
  <si>
    <t>Table Code:</t>
  </si>
  <si>
    <t>No</t>
  </si>
  <si>
    <t>列名(日本語)</t>
  </si>
  <si>
    <t>列名(英字)</t>
  </si>
  <si>
    <t>型</t>
  </si>
  <si>
    <t>桁数</t>
  </si>
  <si>
    <t>Primary</t>
  </si>
  <si>
    <t>Not</t>
  </si>
  <si>
    <t>初期値</t>
    <rPh sb="0" eb="3">
      <t>ショキチ</t>
    </rPh>
    <phoneticPr fontId="3"/>
  </si>
  <si>
    <t>画面表示時</t>
    <phoneticPr fontId="3"/>
  </si>
  <si>
    <t>備考</t>
  </si>
  <si>
    <t>Key</t>
  </si>
  <si>
    <t>Null</t>
  </si>
  <si>
    <t>桁数</t>
    <rPh sb="0" eb="2">
      <t>ケタスウ</t>
    </rPh>
    <phoneticPr fontId="3"/>
  </si>
  <si>
    <r>
      <rPr>
        <sz val="11"/>
        <rFont val="宋体"/>
        <family val="3"/>
        <charset val="134"/>
      </rPr>
      <t>计划</t>
    </r>
    <r>
      <rPr>
        <sz val="11"/>
        <rFont val="ＭＳ 明朝"/>
        <family val="3"/>
        <charset val="128"/>
      </rPr>
      <t>ID</t>
    </r>
    <phoneticPr fontId="11" type="noConversion"/>
  </si>
  <si>
    <t>BianPlanID</t>
  </si>
  <si>
    <t>INT IDENTITY(1,1)</t>
    <phoneticPr fontId="3"/>
  </si>
  <si>
    <t>○</t>
    <phoneticPr fontId="3"/>
  </si>
  <si>
    <t>工单类型</t>
  </si>
  <si>
    <t>PlanFlag</t>
  </si>
  <si>
    <t>VARCHAR</t>
    <phoneticPr fontId="11" type="noConversion"/>
  </si>
  <si>
    <r>
      <t>ZP01国内制品，ZP02日本向,ZP08中</t>
    </r>
    <r>
      <rPr>
        <sz val="11"/>
        <rFont val="宋体"/>
        <family val="3"/>
        <charset val="134"/>
      </rPr>
      <t>间材</t>
    </r>
    <phoneticPr fontId="12" type="noConversion"/>
  </si>
  <si>
    <r>
      <t>便</t>
    </r>
    <r>
      <rPr>
        <sz val="11"/>
        <rFont val="宋体"/>
        <family val="3"/>
        <charset val="134"/>
      </rPr>
      <t>别</t>
    </r>
    <phoneticPr fontId="11" type="noConversion"/>
  </si>
  <si>
    <t>BianCode</t>
  </si>
  <si>
    <t>NVARCHAR</t>
    <phoneticPr fontId="11" type="noConversion"/>
  </si>
  <si>
    <r>
      <t>yyyyMMb[2019066]   20191224便</t>
    </r>
    <r>
      <rPr>
        <sz val="11"/>
        <rFont val="宋体"/>
        <family val="3"/>
        <charset val="134"/>
      </rPr>
      <t>别</t>
    </r>
    <r>
      <rPr>
        <sz val="11"/>
        <rFont val="ＭＳ 明朝"/>
        <family val="3"/>
        <charset val="128"/>
      </rPr>
      <t>位置</t>
    </r>
    <r>
      <rPr>
        <sz val="11"/>
        <rFont val="宋体"/>
        <family val="3"/>
        <charset val="134"/>
      </rPr>
      <t>经</t>
    </r>
    <r>
      <rPr>
        <sz val="11"/>
        <rFont val="ＭＳ 明朝"/>
        <family val="3"/>
        <charset val="128"/>
      </rPr>
      <t>常出</t>
    </r>
    <r>
      <rPr>
        <sz val="11"/>
        <rFont val="宋体"/>
        <family val="3"/>
        <charset val="134"/>
      </rPr>
      <t>现</t>
    </r>
    <r>
      <rPr>
        <sz val="11"/>
        <rFont val="ＭＳ 明朝"/>
        <family val="3"/>
        <charset val="128"/>
      </rPr>
      <t>其它信息，</t>
    </r>
    <r>
      <rPr>
        <sz val="11"/>
        <rFont val="宋体"/>
        <family val="3"/>
        <charset val="134"/>
      </rPr>
      <t>为</t>
    </r>
    <r>
      <rPr>
        <sz val="11"/>
        <rFont val="ＭＳ 明朝"/>
        <family val="3"/>
        <charset val="128"/>
      </rPr>
      <t>保</t>
    </r>
    <r>
      <rPr>
        <sz val="11"/>
        <rFont val="宋体"/>
        <family val="3"/>
        <charset val="134"/>
      </rPr>
      <t>证</t>
    </r>
    <r>
      <rPr>
        <sz val="11"/>
        <rFont val="ＭＳ 明朝"/>
        <family val="3"/>
        <charset val="128"/>
      </rPr>
      <t>系</t>
    </r>
    <r>
      <rPr>
        <sz val="11"/>
        <rFont val="宋体"/>
        <family val="3"/>
        <charset val="134"/>
      </rPr>
      <t>统运</t>
    </r>
    <r>
      <rPr>
        <sz val="11"/>
        <rFont val="ＭＳ 明朝"/>
        <family val="3"/>
        <charset val="128"/>
      </rPr>
      <t>行正常，所以</t>
    </r>
    <r>
      <rPr>
        <sz val="11"/>
        <rFont val="宋体"/>
        <family val="3"/>
        <charset val="134"/>
      </rPr>
      <t>长</t>
    </r>
    <r>
      <rPr>
        <sz val="11"/>
        <rFont val="ＭＳ 明朝"/>
        <family val="3"/>
        <charset val="128"/>
      </rPr>
      <t>度由10位</t>
    </r>
    <r>
      <rPr>
        <sz val="11"/>
        <rFont val="宋体"/>
        <family val="3"/>
        <charset val="134"/>
      </rPr>
      <t>变</t>
    </r>
    <r>
      <rPr>
        <sz val="11"/>
        <rFont val="ＭＳ 明朝"/>
        <family val="3"/>
        <charset val="128"/>
      </rPr>
      <t>更</t>
    </r>
    <r>
      <rPr>
        <sz val="11"/>
        <rFont val="宋体"/>
        <family val="3"/>
        <charset val="134"/>
      </rPr>
      <t>为</t>
    </r>
    <r>
      <rPr>
        <sz val="11"/>
        <rFont val="ＭＳ 明朝"/>
        <family val="3"/>
        <charset val="128"/>
      </rPr>
      <t>30位</t>
    </r>
    <phoneticPr fontId="11" type="noConversion"/>
  </si>
  <si>
    <t>配送便别</t>
  </si>
  <si>
    <t>deliveryNote</t>
  </si>
  <si>
    <r>
      <t>理</t>
    </r>
    <r>
      <rPr>
        <sz val="11"/>
        <rFont val="宋体"/>
        <family val="3"/>
        <charset val="134"/>
      </rPr>
      <t>论上与便别一致</t>
    </r>
    <phoneticPr fontId="12" type="noConversion"/>
  </si>
  <si>
    <t>向先</t>
    <phoneticPr fontId="11" type="noConversion"/>
  </si>
  <si>
    <t>DeliveryToName</t>
  </si>
  <si>
    <t>NVARCHAR</t>
    <phoneticPr fontId="11" type="noConversion"/>
  </si>
  <si>
    <t>須賀川/名張/部品C…</t>
    <phoneticPr fontId="11" type="noConversion"/>
  </si>
  <si>
    <t>港口名</t>
    <phoneticPr fontId="11" type="noConversion"/>
  </si>
  <si>
    <t>PortName</t>
  </si>
  <si>
    <t>不使用</t>
    <phoneticPr fontId="11" type="noConversion"/>
  </si>
  <si>
    <t>向先</t>
  </si>
  <si>
    <t>DestinationCode</t>
  </si>
  <si>
    <t>AX36/AX60…</t>
    <phoneticPr fontId="11" type="noConversion"/>
  </si>
  <si>
    <r>
      <t>国内向制品的回</t>
    </r>
    <r>
      <rPr>
        <sz val="11"/>
        <color rgb="FFFF0000"/>
        <rFont val="宋体"/>
        <family val="3"/>
        <charset val="134"/>
      </rPr>
      <t>签纳期</t>
    </r>
    <phoneticPr fontId="12" type="noConversion"/>
  </si>
  <si>
    <t>BillNo</t>
  </si>
  <si>
    <r>
      <t>不使用
20191119</t>
    </r>
    <r>
      <rPr>
        <sz val="11"/>
        <color rgb="FFFF0000"/>
        <rFont val="宋体"/>
        <family val="3"/>
        <charset val="134"/>
      </rPr>
      <t>启用，放置国内向纳期回答</t>
    </r>
    <phoneticPr fontId="11" type="noConversion"/>
  </si>
  <si>
    <t>物料号</t>
    <phoneticPr fontId="11" type="noConversion"/>
  </si>
  <si>
    <t>ProductCode</t>
  </si>
  <si>
    <t>○</t>
    <phoneticPr fontId="3"/>
  </si>
  <si>
    <t>新物料号</t>
    <phoneticPr fontId="11" type="noConversion"/>
  </si>
  <si>
    <r>
      <t>ProductCode</t>
    </r>
    <r>
      <rPr>
        <sz val="9"/>
        <color theme="1"/>
        <rFont val="微软雅黑"/>
        <family val="2"/>
        <charset val="134"/>
      </rPr>
      <t>Sap</t>
    </r>
    <phoneticPr fontId="12" type="noConversion"/>
  </si>
  <si>
    <t>捆包入数</t>
  </si>
  <si>
    <t>Package</t>
  </si>
  <si>
    <t>NUMERIC</t>
    <phoneticPr fontId="11" type="noConversion"/>
  </si>
  <si>
    <t>9,0</t>
    <phoneticPr fontId="11" type="noConversion"/>
  </si>
  <si>
    <t>捆包数</t>
    <phoneticPr fontId="11" type="noConversion"/>
  </si>
  <si>
    <t>NUMERIC</t>
    <phoneticPr fontId="11" type="noConversion"/>
  </si>
  <si>
    <t>托盘入数</t>
  </si>
  <si>
    <t>trolleyAmount</t>
  </si>
  <si>
    <t>LicenseID</t>
  </si>
  <si>
    <t>9,0</t>
    <phoneticPr fontId="11" type="noConversion"/>
  </si>
  <si>
    <t>EditerID</t>
  </si>
  <si>
    <t>EditTime</t>
  </si>
  <si>
    <t>DATETIME</t>
  </si>
  <si>
    <t>YYYY-MM-DD HH:MM:SS.000</t>
  </si>
  <si>
    <t>SortID</t>
  </si>
  <si>
    <t>Enable</t>
  </si>
  <si>
    <t>1,0</t>
    <phoneticPr fontId="11" type="noConversion"/>
  </si>
  <si>
    <t>1，可用 0不可用</t>
    <phoneticPr fontId="12" type="noConversion"/>
  </si>
  <si>
    <t>CanEdit</t>
  </si>
  <si>
    <t>1,0</t>
    <phoneticPr fontId="11" type="noConversion"/>
  </si>
  <si>
    <t>生产数量</t>
  </si>
  <si>
    <t>amount</t>
  </si>
  <si>
    <t>生产线code</t>
  </si>
  <si>
    <t>WorkLineCode</t>
  </si>
  <si>
    <r>
      <t>制造用便</t>
    </r>
    <r>
      <rPr>
        <sz val="11"/>
        <rFont val="宋体"/>
        <family val="3"/>
        <charset val="134"/>
      </rPr>
      <t>别</t>
    </r>
    <phoneticPr fontId="11" type="noConversion"/>
  </si>
  <si>
    <t>zhizaoYongBian</t>
  </si>
  <si>
    <r>
      <t>原来用于YOJ文件匹配作番使用，所以此</t>
    </r>
    <r>
      <rPr>
        <sz val="11"/>
        <rFont val="宋体"/>
        <family val="3"/>
        <charset val="134"/>
      </rPr>
      <t>项是唯一值</t>
    </r>
    <phoneticPr fontId="11" type="noConversion"/>
  </si>
  <si>
    <t>BOM版本号</t>
  </si>
  <si>
    <t>BomVer</t>
  </si>
  <si>
    <t>单耗版本号</t>
  </si>
  <si>
    <t>DanHaoBer</t>
  </si>
  <si>
    <t>VARCHAR</t>
    <phoneticPr fontId="11" type="noConversion"/>
  </si>
  <si>
    <t>标号</t>
  </si>
  <si>
    <t>BiaoHao</t>
  </si>
  <si>
    <t>箱形</t>
  </si>
  <si>
    <t>XiangXing</t>
  </si>
  <si>
    <t>VARCHAR</t>
    <phoneticPr fontId="11" type="noConversion"/>
  </si>
  <si>
    <t>工单号</t>
  </si>
  <si>
    <t>ZuoFan</t>
    <phoneticPr fontId="11" type="noConversion"/>
  </si>
  <si>
    <t>原作番</t>
    <phoneticPr fontId="12" type="noConversion"/>
  </si>
  <si>
    <t>B2B订单号</t>
  </si>
  <si>
    <t>b2bOderNo</t>
  </si>
  <si>
    <t>13，取消ITK500PLANT表，与此表合并</t>
  </si>
  <si>
    <t>B2B订单序号</t>
  </si>
  <si>
    <t>b2bIndexNo</t>
  </si>
  <si>
    <t>14，取消ITK500PLANT表，与此表合并</t>
  </si>
  <si>
    <t>地址代码</t>
  </si>
  <si>
    <t>CD_DeliveryAddress</t>
    <phoneticPr fontId="11" type="noConversion"/>
  </si>
  <si>
    <t>暂不明确，取消ITK500PLANT表，与此表合并</t>
  </si>
  <si>
    <t>生产开始日期</t>
  </si>
  <si>
    <t>PlanDate</t>
    <phoneticPr fontId="11" type="noConversion"/>
  </si>
  <si>
    <t>新规追加（可以替代原与DSM关联功能）</t>
  </si>
  <si>
    <t>SAP订单号</t>
  </si>
  <si>
    <t>sapOderNo</t>
  </si>
  <si>
    <t>SAP订单行号</t>
  </si>
  <si>
    <t>sapIndexNo</t>
  </si>
  <si>
    <t>B2B采购单号</t>
  </si>
  <si>
    <t>b2bPurchaseNo</t>
  </si>
  <si>
    <t>NVARCHAR</t>
    <phoneticPr fontId="11" type="noConversion"/>
  </si>
  <si>
    <t>特注书号</t>
  </si>
  <si>
    <t>specialBookNo</t>
  </si>
  <si>
    <t>H</t>
  </si>
  <si>
    <t>H</t>
    <phoneticPr fontId="11" type="noConversion"/>
  </si>
  <si>
    <t>W</t>
  </si>
  <si>
    <t>W</t>
    <phoneticPr fontId="11" type="noConversion"/>
  </si>
  <si>
    <t>DH</t>
  </si>
  <si>
    <t>DH</t>
    <phoneticPr fontId="11" type="noConversion"/>
  </si>
  <si>
    <t>DW</t>
  </si>
  <si>
    <t>DW</t>
    <phoneticPr fontId="11" type="noConversion"/>
  </si>
  <si>
    <t>SW</t>
  </si>
  <si>
    <t>SW</t>
    <phoneticPr fontId="11" type="noConversion"/>
  </si>
  <si>
    <t>框宽</t>
  </si>
  <si>
    <t>FW</t>
    <phoneticPr fontId="11" type="noConversion"/>
  </si>
  <si>
    <t>订单备注</t>
  </si>
  <si>
    <t>Comments</t>
    <phoneticPr fontId="11" type="noConversion"/>
  </si>
  <si>
    <t>NVARCHAR</t>
    <phoneticPr fontId="11" type="noConversion"/>
  </si>
  <si>
    <t>经销商编号</t>
  </si>
  <si>
    <t>CD_Dealer</t>
    <phoneticPr fontId="11" type="noConversion"/>
  </si>
  <si>
    <t>经销商地址简称</t>
  </si>
  <si>
    <t>DealerAbbreviation</t>
    <phoneticPr fontId="11" type="noConversion"/>
  </si>
  <si>
    <t>生产顺位</t>
  </si>
  <si>
    <t>ProduceOrder</t>
    <phoneticPr fontId="11" type="noConversion"/>
  </si>
  <si>
    <t>日本小发票号</t>
  </si>
  <si>
    <t>IvNo</t>
    <phoneticPr fontId="11" type="noConversion"/>
  </si>
  <si>
    <t>输出NO.</t>
  </si>
  <si>
    <t>labelNo</t>
  </si>
  <si>
    <t>库存地点</t>
  </si>
  <si>
    <t>localStorage</t>
  </si>
  <si>
    <t>特注内容</t>
  </si>
  <si>
    <t>specialContent</t>
  </si>
  <si>
    <t>工单备注</t>
  </si>
  <si>
    <t>remark</t>
  </si>
  <si>
    <t>销售订单类型</t>
  </si>
  <si>
    <t>saleOrderFlag</t>
    <phoneticPr fontId="12" type="noConversion"/>
  </si>
  <si>
    <t>工程名</t>
  </si>
  <si>
    <t>ProjectName</t>
  </si>
  <si>
    <t>系统字段</t>
  </si>
  <si>
    <t>insertuser</t>
  </si>
  <si>
    <t>VARCHAR</t>
    <phoneticPr fontId="11" type="noConversion"/>
  </si>
  <si>
    <t>insertdate</t>
  </si>
  <si>
    <t>updateuser</t>
  </si>
  <si>
    <t>VARCHAR</t>
    <phoneticPr fontId="11" type="noConversion"/>
  </si>
  <si>
    <t>updatedate</t>
  </si>
  <si>
    <t>PackageAmount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</si>
</sst>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微软雅黑"/>
      <family val="2"/>
      <charset val="134"/>
    </font>
    <font>
      <b/>
      <i/>
      <sz val="16"/>
      <name val="ＭＳ 明朝"/>
      <family val="3"/>
      <charset val="128"/>
    </font>
    <font>
      <sz val="9"/>
      <name val="微软雅黑"/>
      <family val="2"/>
      <charset val="134"/>
    </font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sz val="11"/>
      <name val="ＭＳ 明朝"/>
      <family val="3"/>
      <charset val="128"/>
    </font>
    <font>
      <b/>
      <sz val="11"/>
      <name val="ＭＳ 明朝"/>
      <family val="3"/>
      <charset val="128"/>
    </font>
    <font>
      <sz val="11"/>
      <name val="宋体"/>
      <family val="3"/>
      <charset val="134"/>
    </font>
    <font>
      <b/>
      <i/>
      <sz val="11"/>
      <color indexed="9"/>
      <name val="ＭＳ 明朝"/>
      <family val="3"/>
      <charset val="128"/>
    </font>
    <font>
      <sz val="11"/>
      <color indexed="9"/>
      <name val="ＭＳ 明朝"/>
      <family val="3"/>
      <charset val="128"/>
    </font>
    <font>
      <b/>
      <sz val="11"/>
      <color indexed="9"/>
      <name val="ＭＳ 明朝"/>
      <family val="3"/>
      <charset val="128"/>
    </font>
    <font>
      <sz val="9"/>
      <name val="宋体"/>
      <family val="3"/>
      <charset val="134"/>
    </font>
    <font>
      <sz val="9"/>
      <name val="游ゴシック"/>
      <family val="3"/>
      <charset val="134"/>
      <scheme val="minor"/>
    </font>
    <font>
      <sz val="11"/>
      <color rgb="FFFF0000"/>
      <name val="ＭＳ 明朝"/>
      <family val="3"/>
      <charset val="128"/>
    </font>
    <font>
      <sz val="11"/>
      <color rgb="FFFF0000"/>
      <name val="宋体"/>
      <family val="3"/>
      <charset val="134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80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Fill="1" applyAlignment="1">
      <alignment vertical="center"/>
    </xf>
    <xf numFmtId="14" fontId="5" fillId="0" borderId="0" xfId="1" applyNumberFormat="1" applyFont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8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Continuous" vertical="center"/>
    </xf>
    <xf numFmtId="0" fontId="10" fillId="3" borderId="1" xfId="1" applyFont="1" applyFill="1" applyBorder="1" applyAlignment="1">
      <alignment horizontal="centerContinuous" vertical="center"/>
    </xf>
    <xf numFmtId="0" fontId="9" fillId="3" borderId="1" xfId="1" applyFont="1" applyFill="1" applyBorder="1" applyAlignment="1">
      <alignment horizontal="centerContinuous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Continuous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vertical="center"/>
    </xf>
    <xf numFmtId="0" fontId="10" fillId="3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right" vertical="center"/>
    </xf>
    <xf numFmtId="0" fontId="5" fillId="0" borderId="9" xfId="1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1" applyFont="1" applyFill="1" applyBorder="1" applyAlignment="1">
      <alignment horizontal="left" vertical="center"/>
    </xf>
    <xf numFmtId="49" fontId="5" fillId="0" borderId="11" xfId="1" applyNumberFormat="1" applyFont="1" applyFill="1" applyBorder="1" applyAlignment="1">
      <alignment vertical="center"/>
    </xf>
    <xf numFmtId="0" fontId="5" fillId="0" borderId="12" xfId="1" applyNumberFormat="1" applyFont="1" applyFill="1" applyBorder="1" applyAlignment="1">
      <alignment horizontal="right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5" fillId="0" borderId="11" xfId="1" applyNumberFormat="1" applyFont="1" applyFill="1" applyBorder="1" applyAlignment="1">
      <alignment vertical="center"/>
    </xf>
    <xf numFmtId="14" fontId="5" fillId="0" borderId="9" xfId="1" applyNumberFormat="1" applyFont="1" applyFill="1" applyBorder="1" applyAlignment="1">
      <alignment vertical="center" wrapText="1"/>
    </xf>
    <xf numFmtId="14" fontId="5" fillId="0" borderId="10" xfId="1" applyNumberFormat="1" applyFont="1" applyFill="1" applyBorder="1" applyAlignment="1">
      <alignment vertical="center" wrapText="1"/>
    </xf>
    <xf numFmtId="0" fontId="13" fillId="0" borderId="8" xfId="1" applyFont="1" applyFill="1" applyBorder="1" applyAlignment="1">
      <alignment horizontal="right" vertical="center"/>
    </xf>
    <xf numFmtId="0" fontId="13" fillId="0" borderId="9" xfId="1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0" xfId="1" applyFont="1" applyFill="1" applyBorder="1" applyAlignment="1">
      <alignment horizontal="left" vertical="center"/>
    </xf>
    <xf numFmtId="0" fontId="13" fillId="0" borderId="11" xfId="1" applyNumberFormat="1" applyFont="1" applyFill="1" applyBorder="1" applyAlignment="1">
      <alignment vertical="center"/>
    </xf>
    <xf numFmtId="0" fontId="13" fillId="0" borderId="12" xfId="1" applyNumberFormat="1" applyFont="1" applyFill="1" applyBorder="1" applyAlignment="1">
      <alignment horizontal="right" vertical="center"/>
    </xf>
    <xf numFmtId="0" fontId="13" fillId="0" borderId="10" xfId="1" applyFont="1" applyFill="1" applyBorder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1" xfId="1" applyFont="1" applyFill="1" applyBorder="1" applyAlignment="1">
      <alignment horizontal="left" vertical="center"/>
    </xf>
    <xf numFmtId="14" fontId="5" fillId="0" borderId="13" xfId="1" applyNumberFormat="1" applyFont="1" applyFill="1" applyBorder="1" applyAlignment="1">
      <alignment vertical="center" shrinkToFit="1"/>
    </xf>
    <xf numFmtId="0" fontId="5" fillId="0" borderId="13" xfId="1" applyFont="1" applyFill="1" applyBorder="1" applyAlignment="1">
      <alignment horizontal="center" vertical="center"/>
    </xf>
    <xf numFmtId="0" fontId="15" fillId="0" borderId="14" xfId="0" applyFont="1" applyFill="1" applyBorder="1" applyAlignment="1"/>
    <xf numFmtId="14" fontId="5" fillId="0" borderId="9" xfId="1" applyNumberFormat="1" applyFont="1" applyFill="1" applyBorder="1" applyAlignment="1">
      <alignment horizontal="left" vertical="center" wrapText="1"/>
    </xf>
    <xf numFmtId="14" fontId="5" fillId="0" borderId="10" xfId="1" applyNumberFormat="1" applyFont="1" applyFill="1" applyBorder="1" applyAlignment="1">
      <alignment horizontal="left" vertical="center" wrapText="1"/>
    </xf>
    <xf numFmtId="0" fontId="7" fillId="0" borderId="9" xfId="1" applyFont="1" applyFill="1" applyBorder="1" applyAlignment="1">
      <alignment horizontal="left" vertical="center"/>
    </xf>
    <xf numFmtId="0" fontId="5" fillId="0" borderId="8" xfId="1" applyNumberFormat="1" applyFont="1" applyFill="1" applyBorder="1" applyAlignment="1">
      <alignment horizontal="right" vertical="center"/>
    </xf>
    <xf numFmtId="20" fontId="5" fillId="0" borderId="9" xfId="1" applyNumberFormat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 wrapText="1"/>
    </xf>
    <xf numFmtId="0" fontId="5" fillId="0" borderId="10" xfId="1" applyFont="1" applyFill="1" applyBorder="1" applyAlignment="1">
      <alignment vertical="center" wrapText="1"/>
    </xf>
    <xf numFmtId="14" fontId="5" fillId="0" borderId="9" xfId="1" applyNumberFormat="1" applyFont="1" applyFill="1" applyBorder="1" applyAlignment="1">
      <alignment vertical="center"/>
    </xf>
    <xf numFmtId="0" fontId="5" fillId="0" borderId="15" xfId="1" applyFont="1" applyFill="1" applyBorder="1" applyAlignment="1">
      <alignment horizontal="right" vertical="center"/>
    </xf>
    <xf numFmtId="0" fontId="5" fillId="0" borderId="16" xfId="1" applyFont="1" applyFill="1" applyBorder="1" applyAlignment="1">
      <alignment horizontal="left" vertical="center"/>
    </xf>
    <xf numFmtId="0" fontId="5" fillId="0" borderId="17" xfId="1" applyFont="1" applyFill="1" applyBorder="1" applyAlignment="1">
      <alignment horizontal="left" vertical="center"/>
    </xf>
    <xf numFmtId="14" fontId="5" fillId="0" borderId="16" xfId="1" applyNumberFormat="1" applyFont="1" applyFill="1" applyBorder="1" applyAlignment="1">
      <alignment vertical="center"/>
    </xf>
    <xf numFmtId="0" fontId="5" fillId="2" borderId="17" xfId="1" applyFont="1" applyFill="1" applyBorder="1" applyAlignment="1">
      <alignment horizontal="left" vertical="center"/>
    </xf>
    <xf numFmtId="49" fontId="5" fillId="2" borderId="16" xfId="1" applyNumberFormat="1" applyFont="1" applyFill="1" applyBorder="1" applyAlignment="1">
      <alignment vertical="center"/>
    </xf>
    <xf numFmtId="0" fontId="5" fillId="0" borderId="15" xfId="1" applyNumberFormat="1" applyFont="1" applyFill="1" applyBorder="1" applyAlignment="1">
      <alignment horizontal="right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14" fontId="5" fillId="0" borderId="9" xfId="1" applyNumberFormat="1" applyFont="1" applyFill="1" applyBorder="1" applyAlignment="1">
      <alignment vertical="center" wrapText="1"/>
    </xf>
    <xf numFmtId="14" fontId="5" fillId="0" borderId="10" xfId="1" applyNumberFormat="1" applyFont="1" applyFill="1" applyBorder="1" applyAlignment="1">
      <alignment vertical="center" wrapText="1"/>
    </xf>
    <xf numFmtId="14" fontId="5" fillId="0" borderId="9" xfId="1" applyNumberFormat="1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14" fontId="5" fillId="0" borderId="16" xfId="1" applyNumberFormat="1" applyFont="1" applyFill="1" applyBorder="1" applyAlignment="1">
      <alignment horizontal="left" vertical="center" wrapText="1"/>
    </xf>
    <xf numFmtId="14" fontId="5" fillId="0" borderId="17" xfId="1" applyNumberFormat="1" applyFont="1" applyFill="1" applyBorder="1" applyAlignment="1">
      <alignment horizontal="left" vertical="center" wrapText="1"/>
    </xf>
    <xf numFmtId="20" fontId="5" fillId="0" borderId="9" xfId="1" applyNumberFormat="1" applyFont="1" applyFill="1" applyBorder="1" applyAlignment="1">
      <alignment vertical="center" wrapText="1"/>
    </xf>
    <xf numFmtId="20" fontId="5" fillId="0" borderId="9" xfId="1" applyNumberFormat="1" applyFont="1" applyFill="1" applyBorder="1" applyAlignment="1">
      <alignment horizontal="left" vertical="center" wrapText="1"/>
    </xf>
    <xf numFmtId="20" fontId="5" fillId="0" borderId="10" xfId="1" applyNumberFormat="1" applyFont="1" applyFill="1" applyBorder="1" applyAlignment="1">
      <alignment horizontal="left" vertical="center" wrapText="1"/>
    </xf>
    <xf numFmtId="14" fontId="5" fillId="0" borderId="10" xfId="1" applyNumberFormat="1" applyFont="1" applyFill="1" applyBorder="1" applyAlignment="1">
      <alignment horizontal="left" vertical="center" wrapText="1"/>
    </xf>
    <xf numFmtId="14" fontId="13" fillId="0" borderId="9" xfId="1" applyNumberFormat="1" applyFont="1" applyFill="1" applyBorder="1" applyAlignment="1">
      <alignment vertical="center" wrapText="1"/>
    </xf>
    <xf numFmtId="14" fontId="13" fillId="0" borderId="10" xfId="1" applyNumberFormat="1" applyFont="1" applyFill="1" applyBorder="1" applyAlignment="1">
      <alignment vertical="center" wrapText="1"/>
    </xf>
  </cellXfs>
  <cellStyles count="2">
    <cellStyle name="標準" xfId="0" builtinId="0"/>
    <cellStyle name="標準_FIT2_DBLAYOUT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9968;&#35239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19050</xdr:rowOff>
    </xdr:from>
    <xdr:to>
      <xdr:col>12</xdr:col>
      <xdr:colOff>628650</xdr:colOff>
      <xdr:row>0</xdr:row>
      <xdr:rowOff>219075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0210800" y="19050"/>
          <a:ext cx="628650" cy="200025"/>
        </a:xfrm>
        <a:prstGeom prst="rect">
          <a:avLst/>
        </a:prstGeom>
        <a:solidFill>
          <a:srgbClr val="CCFF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明朝"/>
              <a:ea typeface="ＭＳ 明朝"/>
            </a:rPr>
            <a:t>SQL</a:t>
          </a:r>
          <a:r>
            <a:rPr lang="ja-JP" altLang="en-US" sz="1000" b="0" i="0" strike="noStrike">
              <a:solidFill>
                <a:srgbClr val="000000"/>
              </a:solidFill>
              <a:latin typeface="ＭＳ 明朝"/>
              <a:ea typeface="ＭＳ 明朝"/>
            </a:rPr>
            <a:t>作成</a:t>
          </a:r>
        </a:p>
      </xdr:txBody>
    </xdr:sp>
    <xdr:clientData fPrintsWithSheet="0"/>
  </xdr:twoCellAnchor>
  <xdr:twoCellAnchor>
    <xdr:from>
      <xdr:col>0</xdr:col>
      <xdr:colOff>38100</xdr:colOff>
      <xdr:row>1</xdr:row>
      <xdr:rowOff>9525</xdr:rowOff>
    </xdr:from>
    <xdr:to>
      <xdr:col>1</xdr:col>
      <xdr:colOff>38100</xdr:colOff>
      <xdr:row>4</xdr:row>
      <xdr:rowOff>180975</xdr:rowOff>
    </xdr:to>
    <xdr:sp macro="" textlink="">
      <xdr:nvSpPr>
        <xdr:cNvPr id="3" name="Text 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8100" y="247650"/>
          <a:ext cx="314325" cy="676275"/>
        </a:xfrm>
        <a:prstGeom prst="rect">
          <a:avLst/>
        </a:prstGeom>
        <a:solidFill>
          <a:srgbClr val="FF99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Rtl" wrap="square" lIns="27432" tIns="0" rIns="27432" bIns="0" anchor="ctr" upright="1"/>
        <a:lstStyle/>
        <a:p>
          <a:pPr algn="ctr" rtl="1">
            <a:defRPr sz="1000"/>
          </a:pPr>
          <a:r>
            <a:rPr lang="ja-JP" altLang="en-US" sz="800" b="0" i="0" strike="noStrike">
              <a:solidFill>
                <a:srgbClr val="000000"/>
              </a:solidFill>
              <a:latin typeface="ＭＳ 明朝"/>
              <a:ea typeface="ＭＳ 明朝"/>
            </a:rPr>
            <a:t>一覧に戻る</a:t>
          </a:r>
        </a:p>
      </xdr:txBody>
    </xdr:sp>
    <xdr:clientData fPrintsWithSheet="0"/>
  </xdr:twoCellAnchor>
  <xdr:twoCellAnchor>
    <xdr:from>
      <xdr:col>12</xdr:col>
      <xdr:colOff>0</xdr:colOff>
      <xdr:row>0</xdr:row>
      <xdr:rowOff>19050</xdr:rowOff>
    </xdr:from>
    <xdr:to>
      <xdr:col>12</xdr:col>
      <xdr:colOff>628650</xdr:colOff>
      <xdr:row>0</xdr:row>
      <xdr:rowOff>219075</xdr:rowOff>
    </xdr:to>
    <xdr:sp macro="[1]!Sql_Create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10210800" y="19050"/>
          <a:ext cx="628650" cy="200025"/>
        </a:xfrm>
        <a:prstGeom prst="rect">
          <a:avLst/>
        </a:prstGeom>
        <a:solidFill>
          <a:srgbClr val="CCFFCC">
            <a:alpha val="25000"/>
          </a:srgb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明朝"/>
              <a:ea typeface="ＭＳ 明朝"/>
            </a:rPr>
            <a:t>SQL</a:t>
          </a:r>
          <a:r>
            <a:rPr lang="ja-JP" altLang="en-US" sz="1000" b="0" i="0" strike="noStrike">
              <a:solidFill>
                <a:srgbClr val="000000"/>
              </a:solidFill>
              <a:latin typeface="ＭＳ 明朝"/>
              <a:ea typeface="ＭＳ 明朝"/>
            </a:rPr>
            <a:t>作成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T&amp;GAP\&#26085;&#26412;&#21521;&#37197;&#36865;\DB&#23450;&#20041;&#20070;(&#37197;&#36865;)_REMPAIR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修正履歴"/>
      <sheetName val="一覧"/>
      <sheetName val="T_Sap装运单一览表"/>
      <sheetName val="T_Sap装运单明细表"/>
      <sheetName val="T_Sap制品入力表"/>
      <sheetName val="M_生产线"/>
      <sheetName val="T_便别计划"/>
      <sheetName val="T_Syukka"/>
      <sheetName val="T_托盘明细书"/>
      <sheetName val="T_计划报工、入库记录表"/>
      <sheetName val="T_过账日期"/>
      <sheetName val="v_检查实绩"/>
      <sheetName val="M_制品信息表"/>
      <sheetName val="T_国内贩卖有偿部品计划表"/>
      <sheetName val="T_运转手"/>
      <sheetName val="T_新商流纳期回复"/>
      <sheetName val="M_便别区分"/>
      <sheetName val="M_集装箱点检项目"/>
      <sheetName val="T_集装箱点检一览表"/>
      <sheetName val="T_集装箱点检明细表"/>
      <sheetName val="M_DnPrinter"/>
      <sheetName val="mo (7)"/>
      <sheetName val="DB定义书(配送)_REMPAIR2"/>
    </sheetNames>
    <definedNames>
      <definedName name="Sql_Cre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zoomScale="85" zoomScaleNormal="85" workbookViewId="0">
      <selection activeCell="H20" sqref="H20"/>
    </sheetView>
  </sheetViews>
  <sheetFormatPr defaultRowHeight="16.5"/>
  <cols>
    <col min="12" max="12" width="23.125" customWidth="1"/>
    <col min="13" max="13" width="22.625" customWidth="1"/>
  </cols>
  <sheetData>
    <row r="1" spans="1:13" ht="18.7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2"/>
      <c r="M1" s="4"/>
    </row>
    <row r="2" spans="1:13">
      <c r="A2" s="2"/>
      <c r="B2" s="5" t="s">
        <v>1</v>
      </c>
      <c r="C2" s="6" t="s">
        <v>2</v>
      </c>
      <c r="D2" s="6"/>
      <c r="E2" s="6"/>
      <c r="F2" s="5" t="s">
        <v>3</v>
      </c>
      <c r="G2" s="7" t="s">
        <v>4</v>
      </c>
      <c r="H2" s="6"/>
      <c r="I2" s="6"/>
      <c r="J2" s="2"/>
      <c r="K2" s="2"/>
      <c r="L2" s="5" t="s">
        <v>5</v>
      </c>
      <c r="M2" s="8">
        <v>41571</v>
      </c>
    </row>
    <row r="3" spans="1:13">
      <c r="A3" s="2"/>
      <c r="B3" s="5" t="s">
        <v>6</v>
      </c>
      <c r="C3" s="6"/>
      <c r="D3" s="6"/>
      <c r="E3" s="6"/>
      <c r="F3" s="5" t="s">
        <v>7</v>
      </c>
      <c r="G3" s="7"/>
      <c r="H3" s="6"/>
      <c r="I3" s="6"/>
      <c r="J3" s="2"/>
      <c r="K3" s="2"/>
      <c r="L3" s="5" t="s">
        <v>8</v>
      </c>
      <c r="M3" s="8">
        <v>41571</v>
      </c>
    </row>
    <row r="4" spans="1:13">
      <c r="A4" s="2"/>
      <c r="B4" s="5" t="s">
        <v>9</v>
      </c>
      <c r="C4" s="6"/>
      <c r="D4" s="9"/>
      <c r="E4" s="6"/>
      <c r="F4" s="5" t="s">
        <v>10</v>
      </c>
      <c r="G4" s="10"/>
      <c r="H4" s="6"/>
      <c r="I4" s="6"/>
      <c r="J4" s="6"/>
      <c r="K4" s="6"/>
      <c r="L4" s="5" t="s">
        <v>11</v>
      </c>
      <c r="M4" s="6"/>
    </row>
    <row r="5" spans="1:13">
      <c r="A5" s="11"/>
      <c r="B5" s="11"/>
      <c r="C5" s="11"/>
      <c r="D5" s="12"/>
      <c r="E5" s="13"/>
      <c r="F5" s="12"/>
      <c r="G5" s="12"/>
      <c r="H5" s="12"/>
      <c r="I5" s="12"/>
      <c r="J5" s="12"/>
      <c r="K5" s="12"/>
      <c r="L5" s="12"/>
      <c r="M5" s="12"/>
    </row>
    <row r="6" spans="1:13">
      <c r="A6" s="14" t="s">
        <v>12</v>
      </c>
      <c r="B6" s="15" t="s">
        <v>13</v>
      </c>
      <c r="C6" s="16"/>
      <c r="D6" s="15" t="s">
        <v>14</v>
      </c>
      <c r="E6" s="17"/>
      <c r="F6" s="18" t="s">
        <v>15</v>
      </c>
      <c r="G6" s="18" t="s">
        <v>16</v>
      </c>
      <c r="H6" s="18" t="s">
        <v>17</v>
      </c>
      <c r="I6" s="18" t="s">
        <v>18</v>
      </c>
      <c r="J6" s="18" t="s">
        <v>19</v>
      </c>
      <c r="K6" s="18" t="s">
        <v>20</v>
      </c>
      <c r="L6" s="15" t="s">
        <v>21</v>
      </c>
      <c r="M6" s="19"/>
    </row>
    <row r="7" spans="1:13">
      <c r="A7" s="20"/>
      <c r="B7" s="21"/>
      <c r="C7" s="22"/>
      <c r="D7" s="21"/>
      <c r="E7" s="23"/>
      <c r="F7" s="22"/>
      <c r="G7" s="22"/>
      <c r="H7" s="22" t="s">
        <v>22</v>
      </c>
      <c r="I7" s="22" t="s">
        <v>23</v>
      </c>
      <c r="J7" s="22"/>
      <c r="K7" s="22" t="s">
        <v>24</v>
      </c>
      <c r="L7" s="21"/>
      <c r="M7" s="24"/>
    </row>
    <row r="8" spans="1:13">
      <c r="A8" s="25">
        <f t="shared" ref="A8:A64" si="0">ROW()-7</f>
        <v>1</v>
      </c>
      <c r="B8" s="26" t="s">
        <v>25</v>
      </c>
      <c r="C8" s="27"/>
      <c r="D8" s="26" t="s">
        <v>26</v>
      </c>
      <c r="E8" s="28"/>
      <c r="F8" s="29" t="s">
        <v>27</v>
      </c>
      <c r="G8" s="30"/>
      <c r="H8" s="31" t="s">
        <v>28</v>
      </c>
      <c r="I8" s="31" t="s">
        <v>28</v>
      </c>
      <c r="J8" s="32"/>
      <c r="K8" s="32"/>
      <c r="L8" s="68"/>
      <c r="M8" s="69"/>
    </row>
    <row r="9" spans="1:13" ht="27">
      <c r="A9" s="25">
        <f t="shared" si="0"/>
        <v>2</v>
      </c>
      <c r="B9" s="26" t="s">
        <v>29</v>
      </c>
      <c r="C9" s="33"/>
      <c r="D9" s="26" t="s">
        <v>30</v>
      </c>
      <c r="E9" s="28"/>
      <c r="F9" s="34" t="s">
        <v>31</v>
      </c>
      <c r="G9" s="30">
        <v>10</v>
      </c>
      <c r="H9" s="32"/>
      <c r="I9" s="31" t="s">
        <v>28</v>
      </c>
      <c r="J9" s="32"/>
      <c r="K9" s="32"/>
      <c r="L9" s="35" t="s">
        <v>32</v>
      </c>
      <c r="M9" s="36"/>
    </row>
    <row r="10" spans="1:13">
      <c r="A10" s="25">
        <f t="shared" si="0"/>
        <v>3</v>
      </c>
      <c r="B10" s="26" t="s">
        <v>33</v>
      </c>
      <c r="C10" s="27"/>
      <c r="D10" s="26" t="s">
        <v>34</v>
      </c>
      <c r="E10" s="28"/>
      <c r="F10" s="34" t="s">
        <v>35</v>
      </c>
      <c r="G10" s="30">
        <v>30</v>
      </c>
      <c r="H10" s="31"/>
      <c r="I10" s="31" t="s">
        <v>28</v>
      </c>
      <c r="J10" s="32"/>
      <c r="K10" s="32"/>
      <c r="L10" s="68" t="s">
        <v>36</v>
      </c>
      <c r="M10" s="69"/>
    </row>
    <row r="11" spans="1:13">
      <c r="A11" s="25">
        <f t="shared" si="0"/>
        <v>4</v>
      </c>
      <c r="B11" s="26" t="s">
        <v>37</v>
      </c>
      <c r="C11" s="33"/>
      <c r="D11" s="26" t="s">
        <v>38</v>
      </c>
      <c r="E11" s="28"/>
      <c r="F11" s="34" t="s">
        <v>35</v>
      </c>
      <c r="G11" s="30">
        <v>50</v>
      </c>
      <c r="H11" s="32"/>
      <c r="I11" s="31"/>
      <c r="J11" s="32"/>
      <c r="K11" s="32"/>
      <c r="L11" s="35" t="s">
        <v>39</v>
      </c>
      <c r="M11" s="36"/>
    </row>
    <row r="12" spans="1:13">
      <c r="A12" s="25">
        <f t="shared" si="0"/>
        <v>5</v>
      </c>
      <c r="B12" s="26" t="s">
        <v>40</v>
      </c>
      <c r="C12" s="27"/>
      <c r="D12" s="26" t="s">
        <v>41</v>
      </c>
      <c r="E12" s="28"/>
      <c r="F12" s="34" t="s">
        <v>42</v>
      </c>
      <c r="G12" s="30">
        <v>20</v>
      </c>
      <c r="H12" s="31"/>
      <c r="I12" s="31"/>
      <c r="J12" s="32"/>
      <c r="K12" s="32"/>
      <c r="L12" s="68" t="s">
        <v>43</v>
      </c>
      <c r="M12" s="69"/>
    </row>
    <row r="13" spans="1:13">
      <c r="A13" s="25">
        <f t="shared" si="0"/>
        <v>6</v>
      </c>
      <c r="B13" s="26" t="s">
        <v>44</v>
      </c>
      <c r="C13" s="27"/>
      <c r="D13" s="26" t="s">
        <v>45</v>
      </c>
      <c r="E13" s="28"/>
      <c r="F13" s="34" t="s">
        <v>35</v>
      </c>
      <c r="G13" s="30">
        <v>20</v>
      </c>
      <c r="H13" s="31"/>
      <c r="I13" s="31"/>
      <c r="J13" s="32"/>
      <c r="K13" s="32"/>
      <c r="L13" s="68" t="s">
        <v>46</v>
      </c>
      <c r="M13" s="69"/>
    </row>
    <row r="14" spans="1:13">
      <c r="A14" s="25">
        <f t="shared" si="0"/>
        <v>7</v>
      </c>
      <c r="B14" s="26" t="s">
        <v>47</v>
      </c>
      <c r="C14" s="27"/>
      <c r="D14" s="26" t="s">
        <v>48</v>
      </c>
      <c r="E14" s="28"/>
      <c r="F14" s="34" t="s">
        <v>35</v>
      </c>
      <c r="G14" s="30">
        <v>10</v>
      </c>
      <c r="H14" s="32"/>
      <c r="I14" s="31"/>
      <c r="J14" s="32"/>
      <c r="K14" s="32"/>
      <c r="L14" s="68" t="s">
        <v>49</v>
      </c>
      <c r="M14" s="69"/>
    </row>
    <row r="15" spans="1:13">
      <c r="A15" s="37">
        <f t="shared" si="0"/>
        <v>8</v>
      </c>
      <c r="B15" s="38" t="s">
        <v>50</v>
      </c>
      <c r="C15" s="39"/>
      <c r="D15" s="38" t="s">
        <v>51</v>
      </c>
      <c r="E15" s="40"/>
      <c r="F15" s="41" t="s">
        <v>42</v>
      </c>
      <c r="G15" s="42">
        <v>10</v>
      </c>
      <c r="H15" s="43"/>
      <c r="I15" s="44"/>
      <c r="J15" s="43"/>
      <c r="K15" s="43"/>
      <c r="L15" s="78" t="s">
        <v>52</v>
      </c>
      <c r="M15" s="79"/>
    </row>
    <row r="16" spans="1:13">
      <c r="A16" s="25">
        <f t="shared" si="0"/>
        <v>9</v>
      </c>
      <c r="B16" s="26" t="s">
        <v>53</v>
      </c>
      <c r="C16" s="45"/>
      <c r="D16" s="46" t="s">
        <v>54</v>
      </c>
      <c r="E16" s="47"/>
      <c r="F16" s="34" t="s">
        <v>42</v>
      </c>
      <c r="G16" s="30">
        <v>30</v>
      </c>
      <c r="H16" s="48"/>
      <c r="I16" s="31" t="s">
        <v>55</v>
      </c>
      <c r="J16" s="48"/>
      <c r="K16" s="32"/>
      <c r="L16" s="70"/>
      <c r="M16" s="77"/>
    </row>
    <row r="17" spans="1:13">
      <c r="A17" s="25">
        <f t="shared" si="0"/>
        <v>10</v>
      </c>
      <c r="B17" s="26" t="s">
        <v>56</v>
      </c>
      <c r="C17" s="45"/>
      <c r="D17" s="49" t="s">
        <v>57</v>
      </c>
      <c r="E17" s="47"/>
      <c r="F17" s="34" t="s">
        <v>35</v>
      </c>
      <c r="G17" s="30">
        <v>30</v>
      </c>
      <c r="H17" s="48"/>
      <c r="I17" s="31" t="s">
        <v>28</v>
      </c>
      <c r="J17" s="48"/>
      <c r="K17" s="32"/>
      <c r="L17" s="50"/>
      <c r="M17" s="51"/>
    </row>
    <row r="18" spans="1:13">
      <c r="A18" s="25">
        <f t="shared" si="0"/>
        <v>11</v>
      </c>
      <c r="B18" s="26" t="s">
        <v>58</v>
      </c>
      <c r="C18" s="27"/>
      <c r="D18" s="26" t="s">
        <v>59</v>
      </c>
      <c r="E18" s="28"/>
      <c r="F18" s="34" t="s">
        <v>60</v>
      </c>
      <c r="G18" s="30" t="s">
        <v>61</v>
      </c>
      <c r="H18" s="32"/>
      <c r="I18" s="31"/>
      <c r="J18" s="32"/>
      <c r="K18" s="32"/>
      <c r="L18" s="68"/>
      <c r="M18" s="69"/>
    </row>
    <row r="19" spans="1:13">
      <c r="A19" s="25">
        <f t="shared" si="0"/>
        <v>12</v>
      </c>
      <c r="B19" s="52" t="s">
        <v>62</v>
      </c>
      <c r="C19" s="27"/>
      <c r="D19" s="26" t="s">
        <v>161</v>
      </c>
      <c r="E19" s="28"/>
      <c r="F19" s="34" t="s">
        <v>63</v>
      </c>
      <c r="G19" s="30" t="s">
        <v>61</v>
      </c>
      <c r="H19" s="32"/>
      <c r="I19" s="31" t="s">
        <v>28</v>
      </c>
      <c r="J19" s="32"/>
      <c r="K19" s="32"/>
      <c r="L19" s="70"/>
      <c r="M19" s="77"/>
    </row>
    <row r="20" spans="1:13">
      <c r="A20" s="25">
        <f t="shared" si="0"/>
        <v>13</v>
      </c>
      <c r="B20" s="26" t="s">
        <v>64</v>
      </c>
      <c r="C20" s="33"/>
      <c r="D20" s="26" t="s">
        <v>65</v>
      </c>
      <c r="E20" s="28"/>
      <c r="F20" s="34" t="s">
        <v>63</v>
      </c>
      <c r="G20" s="30" t="s">
        <v>61</v>
      </c>
      <c r="H20" s="32"/>
      <c r="I20" s="31"/>
      <c r="J20" s="32"/>
      <c r="K20" s="32"/>
      <c r="L20" s="35"/>
      <c r="M20" s="36"/>
    </row>
    <row r="21" spans="1:13">
      <c r="A21" s="25">
        <f t="shared" si="0"/>
        <v>14</v>
      </c>
      <c r="B21" s="26"/>
      <c r="C21" s="27"/>
      <c r="D21" s="26" t="s">
        <v>66</v>
      </c>
      <c r="E21" s="28"/>
      <c r="F21" s="34" t="s">
        <v>63</v>
      </c>
      <c r="G21" s="30" t="s">
        <v>67</v>
      </c>
      <c r="H21" s="32"/>
      <c r="I21" s="31"/>
      <c r="J21" s="32"/>
      <c r="K21" s="32"/>
      <c r="L21" s="35"/>
      <c r="M21" s="36"/>
    </row>
    <row r="22" spans="1:13">
      <c r="A22" s="25">
        <f t="shared" si="0"/>
        <v>15</v>
      </c>
      <c r="B22" s="26"/>
      <c r="C22" s="33"/>
      <c r="D22" s="26" t="s">
        <v>68</v>
      </c>
      <c r="E22" s="28"/>
      <c r="F22" s="34" t="s">
        <v>60</v>
      </c>
      <c r="G22" s="30" t="s">
        <v>61</v>
      </c>
      <c r="H22" s="32"/>
      <c r="I22" s="31"/>
      <c r="J22" s="32"/>
      <c r="K22" s="32"/>
      <c r="L22" s="68"/>
      <c r="M22" s="69"/>
    </row>
    <row r="23" spans="1:13">
      <c r="A23" s="25">
        <f t="shared" si="0"/>
        <v>16</v>
      </c>
      <c r="B23" s="26"/>
      <c r="C23" s="33"/>
      <c r="D23" s="26" t="s">
        <v>69</v>
      </c>
      <c r="E23" s="28"/>
      <c r="F23" s="34" t="s">
        <v>70</v>
      </c>
      <c r="G23" s="30"/>
      <c r="H23" s="32"/>
      <c r="I23" s="31"/>
      <c r="J23" s="32"/>
      <c r="K23" s="32"/>
      <c r="L23" s="70" t="s">
        <v>71</v>
      </c>
      <c r="M23" s="77"/>
    </row>
    <row r="24" spans="1:13">
      <c r="A24" s="25">
        <f t="shared" si="0"/>
        <v>17</v>
      </c>
      <c r="B24" s="26"/>
      <c r="C24" s="33"/>
      <c r="D24" s="26" t="s">
        <v>72</v>
      </c>
      <c r="E24" s="28"/>
      <c r="F24" s="34" t="s">
        <v>63</v>
      </c>
      <c r="G24" s="30" t="s">
        <v>61</v>
      </c>
      <c r="H24" s="32"/>
      <c r="I24" s="31"/>
      <c r="J24" s="32"/>
      <c r="K24" s="32"/>
      <c r="L24" s="68"/>
      <c r="M24" s="69"/>
    </row>
    <row r="25" spans="1:13">
      <c r="A25" s="25">
        <f t="shared" si="0"/>
        <v>18</v>
      </c>
      <c r="B25" s="26"/>
      <c r="C25" s="33"/>
      <c r="D25" s="26" t="s">
        <v>73</v>
      </c>
      <c r="E25" s="28"/>
      <c r="F25" s="34" t="s">
        <v>63</v>
      </c>
      <c r="G25" s="30" t="s">
        <v>74</v>
      </c>
      <c r="H25" s="32"/>
      <c r="I25" s="31"/>
      <c r="J25" s="32"/>
      <c r="K25" s="32"/>
      <c r="L25" s="35" t="s">
        <v>75</v>
      </c>
      <c r="M25" s="36"/>
    </row>
    <row r="26" spans="1:13">
      <c r="A26" s="25">
        <f t="shared" si="0"/>
        <v>19</v>
      </c>
      <c r="B26" s="26"/>
      <c r="C26" s="33"/>
      <c r="D26" s="26" t="s">
        <v>76</v>
      </c>
      <c r="E26" s="28"/>
      <c r="F26" s="34" t="s">
        <v>60</v>
      </c>
      <c r="G26" s="30" t="s">
        <v>77</v>
      </c>
      <c r="H26" s="32"/>
      <c r="I26" s="31"/>
      <c r="J26" s="32"/>
      <c r="K26" s="32"/>
      <c r="L26" s="35"/>
      <c r="M26" s="36"/>
    </row>
    <row r="27" spans="1:13">
      <c r="A27" s="25">
        <f t="shared" si="0"/>
        <v>20</v>
      </c>
      <c r="B27" s="26" t="s">
        <v>78</v>
      </c>
      <c r="C27" s="33"/>
      <c r="D27" s="26" t="s">
        <v>79</v>
      </c>
      <c r="E27" s="28"/>
      <c r="F27" s="34" t="s">
        <v>63</v>
      </c>
      <c r="G27" s="30" t="s">
        <v>61</v>
      </c>
      <c r="H27" s="32"/>
      <c r="I27" s="31" t="s">
        <v>28</v>
      </c>
      <c r="J27" s="32"/>
      <c r="K27" s="32"/>
      <c r="L27" s="74"/>
      <c r="M27" s="69"/>
    </row>
    <row r="28" spans="1:13">
      <c r="A28" s="25">
        <f t="shared" si="0"/>
        <v>21</v>
      </c>
      <c r="B28" s="26" t="s">
        <v>80</v>
      </c>
      <c r="C28" s="33"/>
      <c r="D28" s="26" t="s">
        <v>81</v>
      </c>
      <c r="E28" s="28"/>
      <c r="F28" s="34" t="s">
        <v>42</v>
      </c>
      <c r="G28" s="30">
        <v>20</v>
      </c>
      <c r="H28" s="32"/>
      <c r="I28" s="31"/>
      <c r="J28" s="32"/>
      <c r="K28" s="32"/>
      <c r="L28" s="75"/>
      <c r="M28" s="76"/>
    </row>
    <row r="29" spans="1:13">
      <c r="A29" s="25">
        <f t="shared" si="0"/>
        <v>22</v>
      </c>
      <c r="B29" s="26" t="s">
        <v>82</v>
      </c>
      <c r="C29" s="33"/>
      <c r="D29" s="26" t="s">
        <v>83</v>
      </c>
      <c r="E29" s="28"/>
      <c r="F29" s="34" t="s">
        <v>35</v>
      </c>
      <c r="G29" s="53">
        <v>50</v>
      </c>
      <c r="H29" s="32"/>
      <c r="I29" s="31"/>
      <c r="J29" s="32"/>
      <c r="K29" s="32"/>
      <c r="L29" s="74" t="s">
        <v>84</v>
      </c>
      <c r="M29" s="69"/>
    </row>
    <row r="30" spans="1:13">
      <c r="A30" s="25">
        <f t="shared" si="0"/>
        <v>23</v>
      </c>
      <c r="B30" s="26" t="s">
        <v>85</v>
      </c>
      <c r="C30" s="33"/>
      <c r="D30" s="26" t="s">
        <v>86</v>
      </c>
      <c r="E30" s="28"/>
      <c r="F30" s="34" t="s">
        <v>31</v>
      </c>
      <c r="G30" s="53">
        <v>50</v>
      </c>
      <c r="H30" s="32"/>
      <c r="I30" s="31"/>
      <c r="J30" s="32"/>
      <c r="K30" s="32"/>
      <c r="L30" s="74"/>
      <c r="M30" s="69"/>
    </row>
    <row r="31" spans="1:13">
      <c r="A31" s="25">
        <f t="shared" si="0"/>
        <v>24</v>
      </c>
      <c r="B31" s="26" t="s">
        <v>87</v>
      </c>
      <c r="C31" s="33"/>
      <c r="D31" s="26" t="s">
        <v>88</v>
      </c>
      <c r="E31" s="28"/>
      <c r="F31" s="34" t="s">
        <v>89</v>
      </c>
      <c r="G31" s="53">
        <v>50</v>
      </c>
      <c r="H31" s="32"/>
      <c r="I31" s="31"/>
      <c r="J31" s="32"/>
      <c r="K31" s="32"/>
      <c r="L31" s="54"/>
      <c r="M31" s="36"/>
    </row>
    <row r="32" spans="1:13">
      <c r="A32" s="25">
        <f t="shared" si="0"/>
        <v>25</v>
      </c>
      <c r="B32" s="26" t="s">
        <v>90</v>
      </c>
      <c r="C32" s="33"/>
      <c r="D32" s="55" t="s">
        <v>91</v>
      </c>
      <c r="E32" s="56"/>
      <c r="F32" s="34" t="s">
        <v>31</v>
      </c>
      <c r="G32" s="53">
        <v>20</v>
      </c>
      <c r="H32" s="32"/>
      <c r="I32" s="31"/>
      <c r="J32" s="32"/>
      <c r="K32" s="32"/>
      <c r="L32" s="68"/>
      <c r="M32" s="69"/>
    </row>
    <row r="33" spans="1:13">
      <c r="A33" s="25">
        <f t="shared" si="0"/>
        <v>26</v>
      </c>
      <c r="B33" s="26" t="s">
        <v>92</v>
      </c>
      <c r="C33" s="33"/>
      <c r="D33" s="26" t="s">
        <v>93</v>
      </c>
      <c r="E33" s="28"/>
      <c r="F33" s="34" t="s">
        <v>94</v>
      </c>
      <c r="G33" s="53">
        <v>20</v>
      </c>
      <c r="H33" s="32"/>
      <c r="I33" s="31"/>
      <c r="J33" s="32"/>
      <c r="K33" s="32"/>
      <c r="L33" s="74"/>
      <c r="M33" s="69"/>
    </row>
    <row r="34" spans="1:13">
      <c r="A34" s="25">
        <f t="shared" si="0"/>
        <v>27</v>
      </c>
      <c r="B34" s="26" t="s">
        <v>95</v>
      </c>
      <c r="C34" s="33"/>
      <c r="D34" s="26" t="s">
        <v>96</v>
      </c>
      <c r="E34" s="28"/>
      <c r="F34" s="34" t="s">
        <v>94</v>
      </c>
      <c r="G34" s="30">
        <v>20</v>
      </c>
      <c r="H34" s="32"/>
      <c r="I34" s="31" t="s">
        <v>55</v>
      </c>
      <c r="J34" s="32"/>
      <c r="K34" s="32"/>
      <c r="L34" s="35" t="s">
        <v>97</v>
      </c>
      <c r="M34" s="36"/>
    </row>
    <row r="35" spans="1:13">
      <c r="A35" s="25">
        <f t="shared" si="0"/>
        <v>28</v>
      </c>
      <c r="B35" s="26" t="s">
        <v>98</v>
      </c>
      <c r="C35" s="33"/>
      <c r="D35" s="26" t="s">
        <v>99</v>
      </c>
      <c r="E35" s="28"/>
      <c r="F35" s="34" t="s">
        <v>35</v>
      </c>
      <c r="G35" s="30">
        <v>50</v>
      </c>
      <c r="H35" s="32"/>
      <c r="I35" s="31"/>
      <c r="J35" s="32"/>
      <c r="K35" s="32"/>
      <c r="L35" s="57" t="s">
        <v>100</v>
      </c>
      <c r="M35" s="36"/>
    </row>
    <row r="36" spans="1:13">
      <c r="A36" s="25">
        <f t="shared" si="0"/>
        <v>29</v>
      </c>
      <c r="B36" s="26" t="s">
        <v>101</v>
      </c>
      <c r="C36" s="33"/>
      <c r="D36" s="26" t="s">
        <v>102</v>
      </c>
      <c r="E36" s="28"/>
      <c r="F36" s="34" t="s">
        <v>94</v>
      </c>
      <c r="G36" s="30">
        <v>6</v>
      </c>
      <c r="H36" s="32"/>
      <c r="I36" s="31"/>
      <c r="J36" s="32"/>
      <c r="K36" s="32"/>
      <c r="L36" s="57" t="s">
        <v>103</v>
      </c>
      <c r="M36" s="36"/>
    </row>
    <row r="37" spans="1:13">
      <c r="A37" s="25">
        <f t="shared" si="0"/>
        <v>30</v>
      </c>
      <c r="B37" s="26" t="s">
        <v>104</v>
      </c>
      <c r="C37" s="33"/>
      <c r="D37" s="26" t="s">
        <v>105</v>
      </c>
      <c r="E37" s="28"/>
      <c r="F37" s="34" t="s">
        <v>31</v>
      </c>
      <c r="G37" s="30">
        <v>10</v>
      </c>
      <c r="H37" s="32"/>
      <c r="I37" s="31"/>
      <c r="J37" s="32"/>
      <c r="K37" s="32"/>
      <c r="L37" s="57" t="s">
        <v>106</v>
      </c>
      <c r="M37" s="36"/>
    </row>
    <row r="38" spans="1:13">
      <c r="A38" s="25">
        <f t="shared" si="0"/>
        <v>31</v>
      </c>
      <c r="B38" s="26" t="s">
        <v>107</v>
      </c>
      <c r="C38" s="33"/>
      <c r="D38" s="26" t="s">
        <v>108</v>
      </c>
      <c r="E38" s="28"/>
      <c r="F38" s="34" t="s">
        <v>31</v>
      </c>
      <c r="G38" s="30">
        <v>20</v>
      </c>
      <c r="H38" s="32"/>
      <c r="I38" s="31"/>
      <c r="J38" s="32"/>
      <c r="K38" s="32"/>
      <c r="L38" s="57" t="s">
        <v>109</v>
      </c>
      <c r="M38" s="36"/>
    </row>
    <row r="39" spans="1:13">
      <c r="A39" s="25">
        <f t="shared" si="0"/>
        <v>32</v>
      </c>
      <c r="B39" s="26" t="s">
        <v>110</v>
      </c>
      <c r="C39" s="33"/>
      <c r="D39" s="26" t="s">
        <v>111</v>
      </c>
      <c r="E39" s="28"/>
      <c r="F39" s="34" t="s">
        <v>31</v>
      </c>
      <c r="G39" s="30">
        <v>10</v>
      </c>
      <c r="H39" s="32"/>
      <c r="I39" s="31"/>
      <c r="J39" s="32"/>
      <c r="K39" s="32"/>
      <c r="L39" s="57" t="s">
        <v>109</v>
      </c>
      <c r="M39" s="36"/>
    </row>
    <row r="40" spans="1:13">
      <c r="A40" s="25">
        <f t="shared" si="0"/>
        <v>33</v>
      </c>
      <c r="B40" s="26" t="s">
        <v>112</v>
      </c>
      <c r="C40" s="33"/>
      <c r="D40" s="26" t="s">
        <v>113</v>
      </c>
      <c r="E40" s="28"/>
      <c r="F40" s="34" t="s">
        <v>31</v>
      </c>
      <c r="G40" s="30">
        <v>6</v>
      </c>
      <c r="H40" s="32"/>
      <c r="I40" s="31"/>
      <c r="J40" s="32"/>
      <c r="K40" s="32"/>
      <c r="L40" s="57" t="s">
        <v>109</v>
      </c>
      <c r="M40" s="36"/>
    </row>
    <row r="41" spans="1:13">
      <c r="A41" s="25">
        <f t="shared" si="0"/>
        <v>34</v>
      </c>
      <c r="B41" s="26" t="s">
        <v>114</v>
      </c>
      <c r="C41" s="33"/>
      <c r="D41" s="26" t="s">
        <v>115</v>
      </c>
      <c r="E41" s="28"/>
      <c r="F41" s="34" t="s">
        <v>116</v>
      </c>
      <c r="G41" s="30">
        <v>35</v>
      </c>
      <c r="H41" s="32"/>
      <c r="I41" s="31"/>
      <c r="J41" s="32"/>
      <c r="K41" s="32"/>
      <c r="L41" s="57" t="s">
        <v>109</v>
      </c>
      <c r="M41" s="36"/>
    </row>
    <row r="42" spans="1:13">
      <c r="A42" s="25">
        <f t="shared" si="0"/>
        <v>35</v>
      </c>
      <c r="B42" s="26" t="s">
        <v>117</v>
      </c>
      <c r="C42" s="33"/>
      <c r="D42" s="26" t="s">
        <v>118</v>
      </c>
      <c r="E42" s="28"/>
      <c r="F42" s="34" t="s">
        <v>116</v>
      </c>
      <c r="G42" s="30">
        <v>12</v>
      </c>
      <c r="H42" s="32"/>
      <c r="I42" s="31"/>
      <c r="J42" s="32"/>
      <c r="K42" s="32"/>
      <c r="L42" s="57" t="s">
        <v>109</v>
      </c>
      <c r="M42" s="36"/>
    </row>
    <row r="43" spans="1:13">
      <c r="A43" s="25">
        <f t="shared" si="0"/>
        <v>36</v>
      </c>
      <c r="B43" s="26" t="s">
        <v>119</v>
      </c>
      <c r="C43" s="33"/>
      <c r="D43" s="26" t="s">
        <v>120</v>
      </c>
      <c r="E43" s="28"/>
      <c r="F43" s="34" t="s">
        <v>35</v>
      </c>
      <c r="G43" s="30">
        <v>10</v>
      </c>
      <c r="H43" s="32"/>
      <c r="I43" s="31"/>
      <c r="J43" s="32"/>
      <c r="K43" s="32"/>
      <c r="L43" s="57" t="s">
        <v>109</v>
      </c>
      <c r="M43" s="36"/>
    </row>
    <row r="44" spans="1:13">
      <c r="A44" s="25">
        <f t="shared" si="0"/>
        <v>37</v>
      </c>
      <c r="B44" s="26" t="s">
        <v>121</v>
      </c>
      <c r="C44" s="33"/>
      <c r="D44" s="26" t="s">
        <v>122</v>
      </c>
      <c r="E44" s="28"/>
      <c r="F44" s="34" t="s">
        <v>35</v>
      </c>
      <c r="G44" s="30">
        <v>10</v>
      </c>
      <c r="H44" s="32"/>
      <c r="I44" s="31"/>
      <c r="J44" s="32"/>
      <c r="K44" s="32"/>
      <c r="L44" s="57" t="s">
        <v>109</v>
      </c>
      <c r="M44" s="36"/>
    </row>
    <row r="45" spans="1:13">
      <c r="A45" s="25">
        <f t="shared" si="0"/>
        <v>38</v>
      </c>
      <c r="B45" s="26" t="s">
        <v>123</v>
      </c>
      <c r="C45" s="33"/>
      <c r="D45" s="26" t="s">
        <v>124</v>
      </c>
      <c r="E45" s="28"/>
      <c r="F45" s="34" t="s">
        <v>35</v>
      </c>
      <c r="G45" s="30">
        <v>10</v>
      </c>
      <c r="H45" s="32"/>
      <c r="I45" s="31"/>
      <c r="J45" s="32"/>
      <c r="K45" s="32"/>
      <c r="L45" s="57" t="s">
        <v>109</v>
      </c>
      <c r="M45" s="36"/>
    </row>
    <row r="46" spans="1:13">
      <c r="A46" s="25">
        <f t="shared" si="0"/>
        <v>39</v>
      </c>
      <c r="B46" s="26" t="s">
        <v>125</v>
      </c>
      <c r="C46" s="33"/>
      <c r="D46" s="26" t="s">
        <v>126</v>
      </c>
      <c r="E46" s="28"/>
      <c r="F46" s="34" t="s">
        <v>116</v>
      </c>
      <c r="G46" s="30">
        <v>10</v>
      </c>
      <c r="H46" s="32"/>
      <c r="I46" s="31"/>
      <c r="J46" s="32"/>
      <c r="K46" s="32"/>
      <c r="L46" s="57" t="s">
        <v>109</v>
      </c>
      <c r="M46" s="36"/>
    </row>
    <row r="47" spans="1:13">
      <c r="A47" s="25">
        <f t="shared" si="0"/>
        <v>40</v>
      </c>
      <c r="B47" s="26" t="s">
        <v>127</v>
      </c>
      <c r="C47" s="33"/>
      <c r="D47" s="26" t="s">
        <v>128</v>
      </c>
      <c r="E47" s="28"/>
      <c r="F47" s="34" t="s">
        <v>116</v>
      </c>
      <c r="G47" s="30">
        <v>10</v>
      </c>
      <c r="H47" s="32"/>
      <c r="I47" s="31"/>
      <c r="J47" s="32"/>
      <c r="K47" s="32"/>
      <c r="L47" s="57" t="s">
        <v>109</v>
      </c>
      <c r="M47" s="36"/>
    </row>
    <row r="48" spans="1:13">
      <c r="A48" s="25">
        <f t="shared" si="0"/>
        <v>41</v>
      </c>
      <c r="B48" s="26" t="s">
        <v>129</v>
      </c>
      <c r="C48" s="33"/>
      <c r="D48" s="26" t="s">
        <v>130</v>
      </c>
      <c r="E48" s="28"/>
      <c r="F48" s="34" t="s">
        <v>116</v>
      </c>
      <c r="G48" s="30">
        <v>10</v>
      </c>
      <c r="H48" s="32"/>
      <c r="I48" s="31"/>
      <c r="J48" s="32"/>
      <c r="K48" s="32"/>
      <c r="L48" s="57" t="s">
        <v>109</v>
      </c>
      <c r="M48" s="36"/>
    </row>
    <row r="49" spans="1:13">
      <c r="A49" s="25">
        <f t="shared" si="0"/>
        <v>42</v>
      </c>
      <c r="B49" s="26" t="s">
        <v>131</v>
      </c>
      <c r="C49" s="33"/>
      <c r="D49" s="26" t="s">
        <v>132</v>
      </c>
      <c r="E49" s="28"/>
      <c r="F49" s="34" t="s">
        <v>133</v>
      </c>
      <c r="G49" s="30">
        <v>200</v>
      </c>
      <c r="H49" s="32"/>
      <c r="I49" s="31"/>
      <c r="J49" s="32"/>
      <c r="K49" s="32"/>
      <c r="L49" s="57" t="s">
        <v>109</v>
      </c>
      <c r="M49" s="36"/>
    </row>
    <row r="50" spans="1:13">
      <c r="A50" s="25">
        <f t="shared" si="0"/>
        <v>43</v>
      </c>
      <c r="B50" s="26" t="s">
        <v>134</v>
      </c>
      <c r="C50" s="33"/>
      <c r="D50" s="26" t="s">
        <v>135</v>
      </c>
      <c r="E50" s="28"/>
      <c r="F50" s="34" t="s">
        <v>31</v>
      </c>
      <c r="G50" s="30">
        <v>10</v>
      </c>
      <c r="H50" s="32"/>
      <c r="I50" s="31"/>
      <c r="J50" s="32"/>
      <c r="K50" s="32"/>
      <c r="L50" s="57" t="s">
        <v>109</v>
      </c>
      <c r="M50" s="36"/>
    </row>
    <row r="51" spans="1:13">
      <c r="A51" s="25">
        <f t="shared" si="0"/>
        <v>44</v>
      </c>
      <c r="B51" s="26" t="s">
        <v>136</v>
      </c>
      <c r="C51" s="33"/>
      <c r="D51" s="26" t="s">
        <v>137</v>
      </c>
      <c r="E51" s="28"/>
      <c r="F51" s="34" t="s">
        <v>35</v>
      </c>
      <c r="G51" s="30">
        <v>35</v>
      </c>
      <c r="H51" s="32"/>
      <c r="I51" s="31"/>
      <c r="J51" s="32"/>
      <c r="K51" s="32"/>
      <c r="L51" s="57" t="s">
        <v>109</v>
      </c>
      <c r="M51" s="36"/>
    </row>
    <row r="52" spans="1:13">
      <c r="A52" s="25">
        <f t="shared" si="0"/>
        <v>45</v>
      </c>
      <c r="B52" s="26" t="s">
        <v>138</v>
      </c>
      <c r="C52" s="33"/>
      <c r="D52" s="26" t="s">
        <v>139</v>
      </c>
      <c r="E52" s="28"/>
      <c r="F52" s="34" t="s">
        <v>116</v>
      </c>
      <c r="G52" s="30">
        <v>50</v>
      </c>
      <c r="H52" s="32"/>
      <c r="I52" s="31"/>
      <c r="J52" s="32"/>
      <c r="K52" s="32"/>
      <c r="L52" s="57"/>
      <c r="M52" s="36"/>
    </row>
    <row r="53" spans="1:13">
      <c r="A53" s="25">
        <f t="shared" si="0"/>
        <v>46</v>
      </c>
      <c r="B53" s="26" t="s">
        <v>140</v>
      </c>
      <c r="C53" s="33"/>
      <c r="D53" s="26" t="s">
        <v>141</v>
      </c>
      <c r="E53" s="28"/>
      <c r="F53" s="34" t="s">
        <v>31</v>
      </c>
      <c r="G53" s="30">
        <v>20</v>
      </c>
      <c r="H53" s="32"/>
      <c r="I53" s="31"/>
      <c r="J53" s="32"/>
      <c r="K53" s="32"/>
      <c r="L53" s="57"/>
      <c r="M53" s="36"/>
    </row>
    <row r="54" spans="1:13">
      <c r="A54" s="25">
        <f t="shared" si="0"/>
        <v>47</v>
      </c>
      <c r="B54" s="26" t="s">
        <v>142</v>
      </c>
      <c r="C54" s="33"/>
      <c r="D54" s="26" t="s">
        <v>143</v>
      </c>
      <c r="E54" s="28"/>
      <c r="F54" s="34" t="s">
        <v>116</v>
      </c>
      <c r="G54" s="30">
        <v>30</v>
      </c>
      <c r="H54" s="32"/>
      <c r="I54" s="31"/>
      <c r="J54" s="32"/>
      <c r="K54" s="32"/>
      <c r="L54" s="35"/>
      <c r="M54" s="36"/>
    </row>
    <row r="55" spans="1:13">
      <c r="A55" s="25">
        <f t="shared" si="0"/>
        <v>48</v>
      </c>
      <c r="B55" s="26" t="s">
        <v>144</v>
      </c>
      <c r="C55" s="33"/>
      <c r="D55" s="26" t="s">
        <v>145</v>
      </c>
      <c r="E55" s="28"/>
      <c r="F55" s="34" t="s">
        <v>31</v>
      </c>
      <c r="G55" s="30">
        <v>20</v>
      </c>
      <c r="H55" s="32"/>
      <c r="I55" s="31"/>
      <c r="J55" s="32"/>
      <c r="K55" s="32"/>
      <c r="L55" s="35"/>
      <c r="M55" s="36"/>
    </row>
    <row r="56" spans="1:13">
      <c r="A56" s="25">
        <f t="shared" si="0"/>
        <v>49</v>
      </c>
      <c r="B56" s="26" t="s">
        <v>146</v>
      </c>
      <c r="C56" s="33"/>
      <c r="D56" s="26" t="s">
        <v>147</v>
      </c>
      <c r="E56" s="28"/>
      <c r="F56" s="34" t="s">
        <v>116</v>
      </c>
      <c r="G56" s="30">
        <v>200</v>
      </c>
      <c r="H56" s="32"/>
      <c r="I56" s="31"/>
      <c r="J56" s="32"/>
      <c r="K56" s="32"/>
      <c r="L56" s="35"/>
      <c r="M56" s="36"/>
    </row>
    <row r="57" spans="1:13">
      <c r="A57" s="25">
        <f t="shared" si="0"/>
        <v>50</v>
      </c>
      <c r="B57" s="26" t="s">
        <v>148</v>
      </c>
      <c r="C57" s="33"/>
      <c r="D57" s="26" t="s">
        <v>149</v>
      </c>
      <c r="E57" s="28"/>
      <c r="F57" s="34" t="s">
        <v>35</v>
      </c>
      <c r="G57" s="30">
        <v>200</v>
      </c>
      <c r="H57" s="32"/>
      <c r="I57" s="31"/>
      <c r="J57" s="32"/>
      <c r="K57" s="32"/>
      <c r="L57" s="35"/>
      <c r="M57" s="36"/>
    </row>
    <row r="58" spans="1:13">
      <c r="A58" s="25">
        <f t="shared" si="0"/>
        <v>51</v>
      </c>
      <c r="B58" s="26" t="s">
        <v>150</v>
      </c>
      <c r="C58" s="33"/>
      <c r="D58" s="26" t="s">
        <v>151</v>
      </c>
      <c r="E58" s="28"/>
      <c r="F58" s="34" t="s">
        <v>94</v>
      </c>
      <c r="G58" s="30">
        <v>20</v>
      </c>
      <c r="H58" s="32"/>
      <c r="I58" s="31"/>
      <c r="J58" s="32"/>
      <c r="K58" s="32"/>
      <c r="L58" s="35"/>
      <c r="M58" s="36"/>
    </row>
    <row r="59" spans="1:13">
      <c r="A59" s="25">
        <f t="shared" si="0"/>
        <v>52</v>
      </c>
      <c r="B59" s="26" t="s">
        <v>152</v>
      </c>
      <c r="C59" s="33"/>
      <c r="D59" s="26" t="s">
        <v>153</v>
      </c>
      <c r="E59" s="28"/>
      <c r="F59" s="34" t="s">
        <v>35</v>
      </c>
      <c r="G59" s="30">
        <v>200</v>
      </c>
      <c r="H59" s="32"/>
      <c r="I59" s="31"/>
      <c r="J59" s="32"/>
      <c r="K59" s="32"/>
      <c r="L59" s="35"/>
      <c r="M59" s="36"/>
    </row>
    <row r="60" spans="1:13">
      <c r="A60" s="25">
        <f t="shared" si="0"/>
        <v>53</v>
      </c>
      <c r="B60" s="26" t="s">
        <v>154</v>
      </c>
      <c r="C60" s="33"/>
      <c r="D60" s="26" t="s">
        <v>155</v>
      </c>
      <c r="E60" s="28"/>
      <c r="F60" s="34" t="s">
        <v>156</v>
      </c>
      <c r="G60" s="30">
        <v>20</v>
      </c>
      <c r="H60" s="32"/>
      <c r="I60" s="31"/>
      <c r="J60" s="32"/>
      <c r="K60" s="32"/>
      <c r="L60" s="35"/>
      <c r="M60" s="36"/>
    </row>
    <row r="61" spans="1:13">
      <c r="A61" s="25">
        <f t="shared" si="0"/>
        <v>54</v>
      </c>
      <c r="B61" s="26" t="s">
        <v>154</v>
      </c>
      <c r="C61" s="33"/>
      <c r="D61" s="26" t="s">
        <v>157</v>
      </c>
      <c r="E61" s="28"/>
      <c r="F61" s="34" t="s">
        <v>70</v>
      </c>
      <c r="G61" s="30"/>
      <c r="H61" s="32"/>
      <c r="I61" s="31"/>
      <c r="J61" s="32"/>
      <c r="K61" s="32"/>
      <c r="L61" s="35"/>
      <c r="M61" s="36"/>
    </row>
    <row r="62" spans="1:13">
      <c r="A62" s="25">
        <f t="shared" si="0"/>
        <v>55</v>
      </c>
      <c r="B62" s="26" t="s">
        <v>154</v>
      </c>
      <c r="C62" s="33"/>
      <c r="D62" s="26" t="s">
        <v>158</v>
      </c>
      <c r="E62" s="28"/>
      <c r="F62" s="34" t="s">
        <v>159</v>
      </c>
      <c r="G62" s="30">
        <v>20</v>
      </c>
      <c r="H62" s="32"/>
      <c r="I62" s="31"/>
      <c r="J62" s="32"/>
      <c r="K62" s="32"/>
      <c r="L62" s="68"/>
      <c r="M62" s="69"/>
    </row>
    <row r="63" spans="1:13">
      <c r="A63" s="25">
        <f t="shared" si="0"/>
        <v>56</v>
      </c>
      <c r="B63" s="26" t="s">
        <v>154</v>
      </c>
      <c r="C63" s="33"/>
      <c r="D63" s="26" t="s">
        <v>160</v>
      </c>
      <c r="E63" s="28"/>
      <c r="F63" s="34" t="s">
        <v>70</v>
      </c>
      <c r="G63" s="53"/>
      <c r="H63" s="32"/>
      <c r="I63" s="31"/>
      <c r="J63" s="32"/>
      <c r="K63" s="32"/>
      <c r="L63" s="70"/>
      <c r="M63" s="71"/>
    </row>
    <row r="64" spans="1:13">
      <c r="A64" s="25">
        <f t="shared" si="0"/>
        <v>57</v>
      </c>
      <c r="B64" s="26"/>
      <c r="C64" s="33"/>
      <c r="D64" s="26"/>
      <c r="E64" s="28"/>
      <c r="F64" s="29"/>
      <c r="G64" s="53"/>
      <c r="H64" s="32"/>
      <c r="I64" s="31"/>
      <c r="J64" s="32"/>
      <c r="K64" s="32"/>
      <c r="L64" s="70"/>
      <c r="M64" s="71"/>
    </row>
    <row r="65" spans="1:13">
      <c r="A65" s="58"/>
      <c r="B65" s="59"/>
      <c r="C65" s="60"/>
      <c r="D65" s="61"/>
      <c r="E65" s="62"/>
      <c r="F65" s="63"/>
      <c r="G65" s="64"/>
      <c r="H65" s="65"/>
      <c r="I65" s="66"/>
      <c r="J65" s="67"/>
      <c r="K65" s="67"/>
      <c r="L65" s="72"/>
      <c r="M65" s="73"/>
    </row>
  </sheetData>
  <mergeCells count="22">
    <mergeCell ref="L24:M24"/>
    <mergeCell ref="L8:M8"/>
    <mergeCell ref="L10:M10"/>
    <mergeCell ref="L12:M12"/>
    <mergeCell ref="L13:M13"/>
    <mergeCell ref="L14:M14"/>
    <mergeCell ref="L15:M15"/>
    <mergeCell ref="L16:M16"/>
    <mergeCell ref="L18:M18"/>
    <mergeCell ref="L19:M19"/>
    <mergeCell ref="L22:M22"/>
    <mergeCell ref="L23:M23"/>
    <mergeCell ref="L62:M62"/>
    <mergeCell ref="L63:M63"/>
    <mergeCell ref="L64:M64"/>
    <mergeCell ref="L65:M65"/>
    <mergeCell ref="L27:M27"/>
    <mergeCell ref="L28:M28"/>
    <mergeCell ref="L29:M29"/>
    <mergeCell ref="L30:M30"/>
    <mergeCell ref="L32:M32"/>
    <mergeCell ref="L33:M3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hanj2</dc:creator>
  <cp:lastModifiedBy>李 松涛(songtao li)</cp:lastModifiedBy>
  <dcterms:created xsi:type="dcterms:W3CDTF">2021-08-17T00:57:00Z</dcterms:created>
  <dcterms:modified xsi:type="dcterms:W3CDTF">2022-04-04T08:57:56Z</dcterms:modified>
</cp:coreProperties>
</file>