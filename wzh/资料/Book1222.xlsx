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11043787\Desktop\"/>
    </mc:Choice>
  </mc:AlternateContent>
  <xr:revisionPtr revIDLastSave="0" documentId="8_{6143CB2E-4F4F-4F5A-9842-256D994EE37A}" xr6:coauthVersionLast="47" xr6:coauthVersionMax="47" xr10:uidLastSave="{00000000-0000-0000-0000-000000000000}"/>
  <bookViews>
    <workbookView xWindow="-28920" yWindow="-120" windowWidth="29040" windowHeight="15990" xr2:uid="{7B23D7D4-4EBF-493E-8C09-FCED3B3A47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1" l="1" a="1"/>
  <c r="B29" i="1" s="1"/>
  <c r="B30" i="1" a="1"/>
  <c r="B30" i="1" s="1"/>
  <c r="B45" i="1" a="1"/>
  <c r="B45" i="1" s="1"/>
  <c r="B114" i="1" a="1"/>
  <c r="B114" i="1" s="1"/>
  <c r="B115" i="1" a="1"/>
  <c r="B115" i="1" s="1"/>
  <c r="B116" i="1" a="1"/>
  <c r="B116" i="1" s="1"/>
  <c r="B119" i="1" a="1"/>
  <c r="B119" i="1" s="1"/>
  <c r="B120" i="1" a="1"/>
  <c r="B120" i="1" s="1"/>
  <c r="B121" i="1" a="1"/>
  <c r="B121" i="1" s="1"/>
  <c r="B126" i="1" a="1"/>
  <c r="B126" i="1" s="1"/>
  <c r="B127" i="1" a="1"/>
  <c r="B127" i="1" s="1"/>
  <c r="B128" i="1" a="1"/>
  <c r="B128" i="1" s="1"/>
  <c r="B136" i="1" a="1"/>
  <c r="B136" i="1" s="1"/>
  <c r="B137" i="1" a="1"/>
  <c r="B137" i="1" s="1"/>
  <c r="B138" i="1" a="1"/>
  <c r="B138" i="1" s="1"/>
  <c r="B144" i="1" a="1"/>
  <c r="B144" i="1" s="1"/>
  <c r="B145" i="1" a="1"/>
  <c r="B145" i="1" s="1"/>
  <c r="B146" i="1" a="1"/>
  <c r="B146" i="1" s="1"/>
  <c r="B147" i="1" a="1"/>
  <c r="B147" i="1" s="1"/>
  <c r="B162" i="1" a="1"/>
  <c r="B162" i="1" s="1"/>
  <c r="B163" i="1" a="1"/>
  <c r="B163" i="1" s="1"/>
  <c r="B164" i="1" a="1"/>
  <c r="B164" i="1" s="1"/>
  <c r="B171" i="1" a="1"/>
  <c r="B171" i="1" s="1"/>
  <c r="B172" i="1" a="1"/>
  <c r="B172" i="1" s="1"/>
  <c r="B177" i="1" a="1"/>
  <c r="B177" i="1" s="1"/>
  <c r="B178" i="1" a="1"/>
  <c r="B178" i="1" s="1"/>
  <c r="B186" i="1" a="1"/>
  <c r="B186" i="1" s="1"/>
  <c r="B187" i="1" a="1"/>
  <c r="B187" i="1" s="1"/>
  <c r="B188" i="1" a="1"/>
  <c r="B188" i="1" s="1"/>
  <c r="B194" i="1" a="1"/>
  <c r="B194" i="1" s="1"/>
  <c r="B195" i="1" a="1"/>
  <c r="B195" i="1" s="1"/>
  <c r="B196" i="1" a="1"/>
  <c r="B196" i="1" s="1"/>
  <c r="B205" i="1" a="1"/>
  <c r="B205" i="1" s="1"/>
  <c r="B206" i="1" a="1"/>
  <c r="B206" i="1" s="1"/>
  <c r="B211" i="1" a="1"/>
  <c r="B211" i="1" s="1"/>
  <c r="B212" i="1" a="1"/>
  <c r="B212" i="1" s="1"/>
  <c r="B213" i="1" a="1"/>
  <c r="B21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<sst xmlns="http://schemas.openxmlformats.org/spreadsheetml/2006/main" count="140" uniqueCount="101">
  <si>
    <t># Reuseメンテ（再利用メンテナンス）ドキュメント</t>
  </si>
  <si>
    <t>## 1. 概要</t>
  </si>
  <si>
    <t>### 1.1 対象モジュール</t>
  </si>
  <si>
    <t>- **GroupZaiko.asp**: 団体在庫情報取得APIエンドポイント</t>
  </si>
  <si>
    <t>- **GroupZaikoFnc.asp**: 団体在庫情報取得機能のビジネスロジック</t>
  </si>
  <si>
    <t>### 1.2 メンテナンス目的</t>
  </si>
  <si>
    <t>これらのモジュールは、TRAINシステムとの連携を通じて団体在庫情報を取得するための再利用可能なコンポーネントとして設計されています。本ドキュメントでは、これらのモジュールの再利用性を維持・向上させるためのメンテナンス方針と手順を示します。</t>
  </si>
  <si>
    <t>## 2. 再利用性分析</t>
  </si>
  <si>
    <t>### 2.1 GroupZaiko.asp</t>
  </si>
  <si>
    <t>#### 再利用要素</t>
  </si>
  <si>
    <t>1. **JSONパラメータ処理**</t>
  </si>
  <si>
    <t xml:space="preserve">   - JSONパーサーを使用したリクエストデータの解析</t>
  </si>
  <si>
    <t xml:space="preserve">   - パラメータバリデーション機能</t>
  </si>
  <si>
    <t>2. **エラーハンドリング**</t>
  </si>
  <si>
    <t xml:space="preserve">   - 詳細なパラメータチェックとエラーメッセージ生成</t>
  </si>
  <si>
    <t>3. **レスポンスフォーマット**</t>
  </si>
  <si>
    <t xml:space="preserve">   - 標準化されたJSONレスポンス構造</t>
  </si>
  <si>
    <t>#### 再利用可能性</t>
  </si>
  <si>
    <t>### 2.2 GroupZaikoFnc.asp</t>
  </si>
  <si>
    <t>1. **TRAINシステム接続管理**</t>
  </si>
  <si>
    <t xml:space="preserve">   - セッション管理と再接続ロジック</t>
  </si>
  <si>
    <t xml:space="preserve">   - リトライ処理</t>
  </si>
  <si>
    <t>2. **画面操作抽象化**</t>
  </si>
  <si>
    <t xml:space="preserve">   - 画面遷移制御</t>
  </si>
  <si>
    <t xml:space="preserve">   - データ送信・受信処理</t>
  </si>
  <si>
    <t>3. **データ抽出ロジック**</t>
  </si>
  <si>
    <t xml:space="preserve">   - 画面データの構造化処理</t>
  </si>
  <si>
    <t>## 3. 再利用メンテナンス計画</t>
  </si>
  <si>
    <t>### 3.1 共通化すべき機能</t>
  </si>
  <si>
    <t>#### 3.1.1 パラメータバリデーション</t>
  </si>
  <si>
    <t>```</t>
  </si>
  <si>
    <t>現状: GroupZaiko.asp内にハードコードされたバリデーションロジック</t>
  </si>
  <si>
    <t>改善: 再利用可能なバリデーション関数ライブラリとして分離</t>
  </si>
  <si>
    <t>#### 3.1.2 エラーレスポンス生成</t>
  </si>
  <si>
    <t>現状: 各エラーケースで個別にレスポンスを生成</t>
  </si>
  <si>
    <t>改善: 共通のエラーレスポンス生成関数の作成</t>
  </si>
  <si>
    <t>#### 3.1.3 TRAIN接続管理</t>
  </si>
  <si>
    <t>現状: GetDataFromTrain関数内に実装</t>
  </si>
  <si>
    <t>改善: 再利用可能な接続管理モジュールとして分離</t>
  </si>
  <si>
    <t>### 3.2 コード改善提案</t>
  </si>
  <si>
    <t>#### 3.2.1 パラメータバリデーションの共通化</t>
  </si>
  <si>
    <t>```vb</t>
  </si>
  <si>
    <t>' 現在のCheckParameterを以下のように汎用化</t>
  </si>
  <si>
    <t>Function ValidateParameter(dtData, validationRules)</t>
  </si>
  <si>
    <t xml:space="preserve">  ' 汎用的なバリデーションロジック</t>
  </si>
  <si>
    <t>End Function</t>
  </si>
  <si>
    <t>#### 3.2.2 エラーレスポンスの共通化</t>
  </si>
  <si>
    <t>' 共通エラーレスポンス関数</t>
  </si>
  <si>
    <t>Sub ReturnErrorResponse(errorCode, errorMessage)</t>
  </si>
  <si>
    <t xml:space="preserve">  ' 標準化されたエラーレスポンス生成</t>
  </si>
  <si>
    <t>End Sub</t>
  </si>
  <si>
    <t>#### 3.2.3 TRAIN接続の抽象化</t>
  </si>
  <si>
    <t>' TRAIN接続管理クラスの作成</t>
  </si>
  <si>
    <t>Class TrainConnectionManager</t>
  </si>
  <si>
    <t xml:space="preserve">  ' 接続・切断・リトライ処理をカプセル化</t>
  </si>
  <si>
    <t>End Class</t>
  </si>
  <si>
    <t>## 4. 依存関係の管理</t>
  </si>
  <si>
    <t>### 4.1 外部依存</t>
  </si>
  <si>
    <t>- **JSONパーサー**: [JsonParser.asp](file://d:\GITEE\rabo-work\202050910_TES\train\sapfront\include\JsonParser.asp)</t>
  </si>
  <si>
    <t>- **定数定義**: [ConstErrMessage.asp](file://d:\GITEE\rabo-work\202050910_TES\train\sapfront\include\ConstErrMessage.asp)</t>
  </si>
  <si>
    <t>- **共通関数**: [TrainCommon.asp](file://d:\GITEE\rabo-work\202050910_TES\train\sapfront\include\TrainCommon.asp)</t>
  </si>
  <si>
    <t>- **グローバル設定**: [TrainGlobal.asp](file://d:\GITEE\rabo-work\202050910_TES\train\sapfront\include\TrainGlobal.asp)</t>
  </si>
  <si>
    <t>### 4.2 依存関係のバージョン管理</t>
  </si>
  <si>
    <t>推奨: 各依存ファイルのバージョン情報をコメントに記載</t>
  </si>
  <si>
    <t>例: ' JsonParser.asp v1.2 - 2024/05/15更新</t>
  </si>
  <si>
    <t>## 5. テストと検証</t>
  </si>
  <si>
    <t>### 5.1 単体テスト</t>
  </si>
  <si>
    <t>GroupZaiko.asp用テストケース:</t>
  </si>
  <si>
    <t>GroupZaikoFnc.asp用テストケース:</t>
  </si>
  <si>
    <t>### 5.2 結合テスト</t>
  </si>
  <si>
    <t>## 6. ドキュメントメンテナンス</t>
  </si>
  <si>
    <t>### 6.1 インラインコメント</t>
  </si>
  <si>
    <t>改善点:</t>
  </si>
  <si>
    <t>### 6.2 外部ドキュメント</t>
  </si>
  <si>
    <t>作成・更新が必要なドキュメント:</t>
  </si>
  <si>
    <t>## 7. パフォーマンス最適化</t>
  </si>
  <si>
    <t>### 7.1 キャッシュ機構</t>
  </si>
  <si>
    <t>' 繰り返し取得されるデータのキャッシュ</t>
  </si>
  <si>
    <t>Function GetCachedData(cacheKey)</t>
  </si>
  <si>
    <t xml:space="preserve">  ' キャッシュからのデータ取得ロジック</t>
  </si>
  <si>
    <t>### 7.2 リソース管理</t>
  </si>
  <si>
    <t>## 8. セキュリティ対策</t>
  </si>
  <si>
    <t>### 8.1 入力値サニタイズ</t>
  </si>
  <si>
    <t>### 8.2 認証・認可</t>
  </si>
  <si>
    <t>## 9. バージョン管理と変更履歴</t>
  </si>
  <si>
    <t>### 9.1 バージョン命名規則</t>
  </si>
  <si>
    <t>推奨: Semantic Versioning (例: v1.2.3)</t>
  </si>
  <si>
    <t>### 9.2 変更履歴管理</t>
  </si>
  <si>
    <t>各ファイルのヘッダコメントに以下の情報を記録:</t>
  </si>
  <si>
    <t>## 10. 今後の改善提案</t>
  </si>
  <si>
    <t>### 10.1 モダン化</t>
  </si>
  <si>
    <t>長期的には以下を検討:</t>
  </si>
  <si>
    <t>- .NET Core等への移行</t>
  </si>
  <si>
    <t>### 10.2 モニタリング強化</t>
  </si>
  <si>
    <t>## 11. まとめ</t>
  </si>
  <si>
    <t>これらのモジュールは、既に高い再利用性を持っているが、以下の点でさらなる改善が可能です:</t>
  </si>
  <si>
    <t>1. **共通機能のライブラリ化**により他のモジュールでの再利用性を向上</t>
  </si>
  <si>
    <t>2. **依存関係の明確化**によりメンテナンス性を向上</t>
  </si>
  <si>
    <t>3. **テストカバレッジの向上**により品質を確保</t>
  </si>
  <si>
    <t>4. **ドキュメントの充実**により引き継ぎ性を向上</t>
  </si>
  <si>
    <t>定期的なメンテナンスを通じて、これらのモジュールの価値を維持・向上させていくことが重要です。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</si>
</sst>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71E7E-2594-452C-B6F9-BD7EEBD724E0}">
  <dimension ref="B4:B225"/>
  <sheetViews>
    <sheetView tabSelected="1" workbookViewId="0">
      <selection activeCell="B3" sqref="B3:B225"/>
    </sheetView>
  </sheetViews>
  <sheetFormatPr defaultRowHeight="13.5" x14ac:dyDescent="0.15"/>
  <sheetData>
    <row r="4" spans="2:2" x14ac:dyDescent="0.15">
      <c r="B4" t="s">
        <v>0</v>
      </c>
    </row>
    <row r="6" spans="2:2" x14ac:dyDescent="0.15">
      <c r="B6" t="s">
        <v>1</v>
      </c>
    </row>
    <row r="8" spans="2:2" x14ac:dyDescent="0.15">
      <c r="B8" t="s">
        <v>2</v>
      </c>
    </row>
    <row r="9" spans="2:2" x14ac:dyDescent="0.15">
      <c r="B9" t="s">
        <v>3</v>
      </c>
    </row>
    <row r="10" spans="2:2" x14ac:dyDescent="0.15">
      <c r="B10" t="s">
        <v>4</v>
      </c>
    </row>
    <row r="12" spans="2:2" x14ac:dyDescent="0.15">
      <c r="B12" t="s">
        <v>5</v>
      </c>
    </row>
    <row r="13" spans="2:2" x14ac:dyDescent="0.15">
      <c r="B13" t="s">
        <v>6</v>
      </c>
    </row>
    <row r="15" spans="2:2" x14ac:dyDescent="0.15">
      <c r="B15" t="s">
        <v>7</v>
      </c>
    </row>
    <row r="17" spans="2:2" x14ac:dyDescent="0.15">
      <c r="B17" t="s">
        <v>8</v>
      </c>
    </row>
    <row r="19" spans="2:2" x14ac:dyDescent="0.15">
      <c r="B19" t="s">
        <v>9</v>
      </c>
    </row>
    <row r="20" spans="2:2" x14ac:dyDescent="0.15">
      <c r="B20" t="s">
        <v>10</v>
      </c>
    </row>
    <row r="21" spans="2:2" x14ac:dyDescent="0.15">
      <c r="B21" t="s">
        <v>11</v>
      </c>
    </row>
    <row r="22" spans="2:2" x14ac:dyDescent="0.15">
      <c r="B22" t="s">
        <v>12</v>
      </c>
    </row>
    <row r="23" spans="2:2" x14ac:dyDescent="0.15">
      <c r="B23" t="s">
        <v>13</v>
      </c>
    </row>
    <row r="24" spans="2:2" x14ac:dyDescent="0.15">
      <c r="B24" t="s">
        <v>14</v>
      </c>
    </row>
    <row r="25" spans="2:2" x14ac:dyDescent="0.15">
      <c r="B25" t="s">
        <v>15</v>
      </c>
    </row>
    <row r="26" spans="2:2" x14ac:dyDescent="0.15">
      <c r="B26" t="s">
        <v>16</v>
      </c>
    </row>
    <row r="28" spans="2:2" x14ac:dyDescent="0.15">
      <c r="B28" t="s">
        <v>17</v>
      </c>
    </row>
    <row r="29" spans="2:2" x14ac:dyDescent="0.15">
      <c r="B29" t="e" cm="1">
        <f t="array" ref="B29">- 高い: APIエンドポイントとして他の類似機能で再利用可能</f>
        <v>#NAME?</v>
      </c>
    </row>
    <row r="30" spans="2:2" x14ac:dyDescent="0.15">
      <c r="B30" t="e" cm="1">
        <f t="array" ref="B30">- パラメータ構造を変更することで他の在庫情報取得処理に適用可能</f>
        <v>#NAME?</v>
      </c>
    </row>
    <row r="32" spans="2:2" x14ac:dyDescent="0.15">
      <c r="B32" t="s">
        <v>18</v>
      </c>
    </row>
    <row r="34" spans="2:2" x14ac:dyDescent="0.15">
      <c r="B34" t="s">
        <v>9</v>
      </c>
    </row>
    <row r="35" spans="2:2" x14ac:dyDescent="0.15">
      <c r="B35" t="s">
        <v>19</v>
      </c>
    </row>
    <row r="36" spans="2:2" x14ac:dyDescent="0.15">
      <c r="B36" t="s">
        <v>20</v>
      </c>
    </row>
    <row r="37" spans="2:2" x14ac:dyDescent="0.15">
      <c r="B37" t="s">
        <v>21</v>
      </c>
    </row>
    <row r="38" spans="2:2" x14ac:dyDescent="0.15">
      <c r="B38" t="s">
        <v>22</v>
      </c>
    </row>
    <row r="39" spans="2:2" x14ac:dyDescent="0.15">
      <c r="B39" t="s">
        <v>23</v>
      </c>
    </row>
    <row r="40" spans="2:2" x14ac:dyDescent="0.15">
      <c r="B40" t="s">
        <v>24</v>
      </c>
    </row>
    <row r="41" spans="2:2" x14ac:dyDescent="0.15">
      <c r="B41" t="s">
        <v>25</v>
      </c>
    </row>
    <row r="42" spans="2:2" x14ac:dyDescent="0.15">
      <c r="B42" t="s">
        <v>26</v>
      </c>
    </row>
    <row r="44" spans="2:2" x14ac:dyDescent="0.15">
      <c r="B44" t="s">
        <v>17</v>
      </c>
    </row>
    <row r="45" spans="2:2" x14ac:dyDescent="0.15">
      <c r="B45" t="e" cm="1">
        <f t="array" ref="B45">- 中程度: TRAINシステム固有の操作を含むため、他のモジュールでの再利用には調整が必要</f>
        <v>#NAME?</v>
      </c>
    </row>
    <row r="47" spans="2:2" x14ac:dyDescent="0.15">
      <c r="B47" t="s">
        <v>27</v>
      </c>
    </row>
    <row r="49" spans="2:2" x14ac:dyDescent="0.15">
      <c r="B49" t="s">
        <v>28</v>
      </c>
    </row>
    <row r="51" spans="2:2" x14ac:dyDescent="0.15">
      <c r="B51" t="s">
        <v>29</v>
      </c>
    </row>
    <row r="52" spans="2:2" x14ac:dyDescent="0.15">
      <c r="B52" t="s">
        <v>30</v>
      </c>
    </row>
    <row r="53" spans="2:2" x14ac:dyDescent="0.15">
      <c r="B53" t="s">
        <v>31</v>
      </c>
    </row>
    <row r="54" spans="2:2" x14ac:dyDescent="0.15">
      <c r="B54" t="s">
        <v>32</v>
      </c>
    </row>
    <row r="55" spans="2:2" x14ac:dyDescent="0.15">
      <c r="B55" t="s">
        <v>30</v>
      </c>
    </row>
    <row r="57" spans="2:2" x14ac:dyDescent="0.15">
      <c r="B57" t="s">
        <v>33</v>
      </c>
    </row>
    <row r="58" spans="2:2" x14ac:dyDescent="0.15">
      <c r="B58" t="s">
        <v>30</v>
      </c>
    </row>
    <row r="59" spans="2:2" x14ac:dyDescent="0.15">
      <c r="B59" t="s">
        <v>34</v>
      </c>
    </row>
    <row r="60" spans="2:2" x14ac:dyDescent="0.15">
      <c r="B60" t="s">
        <v>35</v>
      </c>
    </row>
    <row r="61" spans="2:2" x14ac:dyDescent="0.15">
      <c r="B61" t="s">
        <v>30</v>
      </c>
    </row>
    <row r="63" spans="2:2" x14ac:dyDescent="0.15">
      <c r="B63" t="s">
        <v>36</v>
      </c>
    </row>
    <row r="64" spans="2:2" x14ac:dyDescent="0.15">
      <c r="B64" t="s">
        <v>30</v>
      </c>
    </row>
    <row r="65" spans="2:2" x14ac:dyDescent="0.15">
      <c r="B65" t="s">
        <v>37</v>
      </c>
    </row>
    <row r="66" spans="2:2" x14ac:dyDescent="0.15">
      <c r="B66" t="s">
        <v>38</v>
      </c>
    </row>
    <row r="67" spans="2:2" x14ac:dyDescent="0.15">
      <c r="B67" t="s">
        <v>30</v>
      </c>
    </row>
    <row r="69" spans="2:2" x14ac:dyDescent="0.15">
      <c r="B69" t="s">
        <v>39</v>
      </c>
    </row>
    <row r="71" spans="2:2" x14ac:dyDescent="0.15">
      <c r="B71" t="s">
        <v>40</v>
      </c>
    </row>
    <row r="72" spans="2:2" x14ac:dyDescent="0.15">
      <c r="B72" t="s">
        <v>41</v>
      </c>
    </row>
    <row r="73" spans="2:2" x14ac:dyDescent="0.15">
      <c r="B73" t="s">
        <v>42</v>
      </c>
    </row>
    <row r="74" spans="2:2" x14ac:dyDescent="0.15">
      <c r="B74" t="s">
        <v>43</v>
      </c>
    </row>
    <row r="75" spans="2:2" x14ac:dyDescent="0.15">
      <c r="B75" t="s">
        <v>44</v>
      </c>
    </row>
    <row r="76" spans="2:2" x14ac:dyDescent="0.15">
      <c r="B76" t="s">
        <v>45</v>
      </c>
    </row>
    <row r="77" spans="2:2" x14ac:dyDescent="0.15">
      <c r="B77" t="s">
        <v>30</v>
      </c>
    </row>
    <row r="79" spans="2:2" x14ac:dyDescent="0.15">
      <c r="B79" t="s">
        <v>46</v>
      </c>
    </row>
    <row r="80" spans="2:2" x14ac:dyDescent="0.15">
      <c r="B80" t="s">
        <v>41</v>
      </c>
    </row>
    <row r="81" spans="2:2" x14ac:dyDescent="0.15">
      <c r="B81" t="s">
        <v>47</v>
      </c>
    </row>
    <row r="82" spans="2:2" x14ac:dyDescent="0.15">
      <c r="B82" t="s">
        <v>48</v>
      </c>
    </row>
    <row r="83" spans="2:2" x14ac:dyDescent="0.15">
      <c r="B83" t="s">
        <v>49</v>
      </c>
    </row>
    <row r="84" spans="2:2" x14ac:dyDescent="0.15">
      <c r="B84" t="s">
        <v>50</v>
      </c>
    </row>
    <row r="85" spans="2:2" x14ac:dyDescent="0.15">
      <c r="B85" t="s">
        <v>30</v>
      </c>
    </row>
    <row r="87" spans="2:2" x14ac:dyDescent="0.15">
      <c r="B87" t="s">
        <v>51</v>
      </c>
    </row>
    <row r="88" spans="2:2" x14ac:dyDescent="0.15">
      <c r="B88" t="s">
        <v>41</v>
      </c>
    </row>
    <row r="89" spans="2:2" x14ac:dyDescent="0.15">
      <c r="B89" t="s">
        <v>52</v>
      </c>
    </row>
    <row r="90" spans="2:2" x14ac:dyDescent="0.15">
      <c r="B90" t="s">
        <v>53</v>
      </c>
    </row>
    <row r="91" spans="2:2" x14ac:dyDescent="0.15">
      <c r="B91" t="s">
        <v>54</v>
      </c>
    </row>
    <row r="92" spans="2:2" x14ac:dyDescent="0.15">
      <c r="B92" t="s">
        <v>55</v>
      </c>
    </row>
    <row r="93" spans="2:2" x14ac:dyDescent="0.15">
      <c r="B93" t="s">
        <v>30</v>
      </c>
    </row>
    <row r="95" spans="2:2" x14ac:dyDescent="0.15">
      <c r="B95" t="s">
        <v>56</v>
      </c>
    </row>
    <row r="97" spans="2:2" x14ac:dyDescent="0.15">
      <c r="B97" t="s">
        <v>57</v>
      </c>
    </row>
    <row r="98" spans="2:2" x14ac:dyDescent="0.15">
      <c r="B98" t="s">
        <v>58</v>
      </c>
    </row>
    <row r="99" spans="2:2" x14ac:dyDescent="0.15">
      <c r="B99" t="s">
        <v>59</v>
      </c>
    </row>
    <row r="100" spans="2:2" x14ac:dyDescent="0.15">
      <c r="B100" t="s">
        <v>60</v>
      </c>
    </row>
    <row r="101" spans="2:2" x14ac:dyDescent="0.15">
      <c r="B101" t="s">
        <v>61</v>
      </c>
    </row>
    <row r="103" spans="2:2" x14ac:dyDescent="0.15">
      <c r="B103" t="s">
        <v>62</v>
      </c>
    </row>
    <row r="104" spans="2:2" x14ac:dyDescent="0.15">
      <c r="B104" t="s">
        <v>30</v>
      </c>
    </row>
    <row r="105" spans="2:2" x14ac:dyDescent="0.15">
      <c r="B105" t="s">
        <v>63</v>
      </c>
    </row>
    <row r="106" spans="2:2" x14ac:dyDescent="0.15">
      <c r="B106" t="s">
        <v>64</v>
      </c>
    </row>
    <row r="107" spans="2:2" x14ac:dyDescent="0.15">
      <c r="B107" t="s">
        <v>30</v>
      </c>
    </row>
    <row r="109" spans="2:2" x14ac:dyDescent="0.15">
      <c r="B109" t="s">
        <v>65</v>
      </c>
    </row>
    <row r="111" spans="2:2" x14ac:dyDescent="0.15">
      <c r="B111" t="s">
        <v>66</v>
      </c>
    </row>
    <row r="112" spans="2:2" x14ac:dyDescent="0.15">
      <c r="B112" t="s">
        <v>30</v>
      </c>
    </row>
    <row r="113" spans="2:2" x14ac:dyDescent="0.15">
      <c r="B113" t="s">
        <v>67</v>
      </c>
    </row>
    <row r="114" spans="2:2" x14ac:dyDescent="0.15">
      <c r="B114" t="e" cm="1">
        <f t="array" ref="B114">- 正常系: 正しいJSONリクエスト</f>
        <v>#NAME?</v>
      </c>
    </row>
    <row r="115" spans="2:2" x14ac:dyDescent="0.15">
      <c r="B115" t="e" cm="1">
        <f t="array" ref="B115">- 異常系: 不正なパラメータパターンすべて</f>
        <v>#NAME?</v>
      </c>
    </row>
    <row r="116" spans="2:2" x14ac:dyDescent="0.15">
      <c r="B116" t="e" cm="1">
        <f t="array" ref="B116">- 境界値: 文字数上限・下限</f>
        <v>#NAME?</v>
      </c>
    </row>
    <row r="118" spans="2:2" x14ac:dyDescent="0.15">
      <c r="B118" t="s">
        <v>68</v>
      </c>
    </row>
    <row r="119" spans="2:2" x14ac:dyDescent="0.15">
      <c r="B119" t="e" cm="1">
        <f t="array" ref="B119">- TRAIN接続成功/失敗ケース</f>
        <v>#NAME?</v>
      </c>
    </row>
    <row r="120" spans="2:2" x14ac:dyDescent="0.15">
      <c r="B120" t="e" cm="1">
        <f t="array" ref="B120">- 各画面遷移パターン</f>
        <v>#NAME?</v>
      </c>
    </row>
    <row r="121" spans="2:2" x14ac:dyDescent="0.15">
      <c r="B121" t="e" cm="1">
        <f t="array" ref="B121">- データ抽出パターン</f>
        <v>#NAME?</v>
      </c>
    </row>
    <row r="122" spans="2:2" x14ac:dyDescent="0.15">
      <c r="B122" t="s">
        <v>30</v>
      </c>
    </row>
    <row r="124" spans="2:2" x14ac:dyDescent="0.15">
      <c r="B124" t="s">
        <v>69</v>
      </c>
    </row>
    <row r="125" spans="2:2" x14ac:dyDescent="0.15">
      <c r="B125" t="s">
        <v>30</v>
      </c>
    </row>
    <row r="126" spans="2:2" x14ac:dyDescent="0.15">
      <c r="B126" t="e" cm="1">
        <f t="array" ref="B126">- APIエンドポイントとビジネスロジックの結合</f>
        <v>#NAME?</v>
      </c>
    </row>
    <row r="127" spans="2:2" x14ac:dyDescent="0.15">
      <c r="B127" t="e" cm="1">
        <f t="array" ref="B127">- TRAINシステムとの接続テスト</f>
        <v>#NAME?</v>
      </c>
    </row>
    <row r="128" spans="2:2" x14ac:dyDescent="0.15">
      <c r="B128" t="e" cm="1">
        <f t="array" ref="B128">- リトライ処理の検証</f>
        <v>#NAME?</v>
      </c>
    </row>
    <row r="129" spans="2:2" x14ac:dyDescent="0.15">
      <c r="B129" t="s">
        <v>30</v>
      </c>
    </row>
    <row r="131" spans="2:2" x14ac:dyDescent="0.15">
      <c r="B131" t="s">
        <v>70</v>
      </c>
    </row>
    <row r="133" spans="2:2" x14ac:dyDescent="0.15">
      <c r="B133" t="s">
        <v>71</v>
      </c>
    </row>
    <row r="134" spans="2:2" x14ac:dyDescent="0.15">
      <c r="B134" t="s">
        <v>30</v>
      </c>
    </row>
    <row r="135" spans="2:2" x14ac:dyDescent="0.15">
      <c r="B135" t="s">
        <v>72</v>
      </c>
    </row>
    <row r="136" spans="2:2" x14ac:dyDescent="0.15">
      <c r="B136" t="e" cm="1">
        <f t="array" ref="B136">- 各関数に詳細な説明コメントを追加</f>
        <v>#NAME?</v>
      </c>
    </row>
    <row r="137" spans="2:2" x14ac:dyDescent="0.15">
      <c r="B137" t="e" cm="1">
        <f t="array" ref="B137">- パラメータと戻り値の明確化</f>
        <v>#NAME?</v>
      </c>
    </row>
    <row r="138" spans="2:2" x14ac:dyDescent="0.15">
      <c r="B138" t="e" cm="1">
        <f t="array" ref="B138">- 処理ロジックの説明を強化</f>
        <v>#NAME?</v>
      </c>
    </row>
    <row r="139" spans="2:2" x14ac:dyDescent="0.15">
      <c r="B139" t="s">
        <v>30</v>
      </c>
    </row>
    <row r="141" spans="2:2" x14ac:dyDescent="0.15">
      <c r="B141" t="s">
        <v>73</v>
      </c>
    </row>
    <row r="142" spans="2:2" x14ac:dyDescent="0.15">
      <c r="B142" t="s">
        <v>30</v>
      </c>
    </row>
    <row r="143" spans="2:2" x14ac:dyDescent="0.15">
      <c r="B143" t="s">
        <v>74</v>
      </c>
    </row>
    <row r="144" spans="2:2" x14ac:dyDescent="0.15">
      <c r="B144" t="e" cm="1">
        <f t="array" ref="B144">- API仕様書 (Swagger形式推奨)</f>
        <v>#NAME?</v>
      </c>
    </row>
    <row r="145" spans="2:2" x14ac:dyDescent="0.15">
      <c r="B145" t="e" cm="1">
        <f t="array" ref="B145">- ビジネスロジック仕様書</f>
        <v>#NAME?</v>
      </c>
    </row>
    <row r="146" spans="2:2" x14ac:dyDescent="0.15">
      <c r="B146" t="e" cm="1">
        <f t="array" ref="B146">- TRAIN画面操作マニュアル</f>
        <v>#NAME?</v>
      </c>
    </row>
    <row r="147" spans="2:2" x14ac:dyDescent="0.15">
      <c r="B147" t="e" cm="1">
        <f t="array" ref="B147">- エラーコード一覧</f>
        <v>#NAME?</v>
      </c>
    </row>
    <row r="148" spans="2:2" x14ac:dyDescent="0.15">
      <c r="B148" t="s">
        <v>30</v>
      </c>
    </row>
    <row r="150" spans="2:2" x14ac:dyDescent="0.15">
      <c r="B150" t="s">
        <v>75</v>
      </c>
    </row>
    <row r="152" spans="2:2" x14ac:dyDescent="0.15">
      <c r="B152" t="s">
        <v>76</v>
      </c>
    </row>
    <row r="153" spans="2:2" x14ac:dyDescent="0.15">
      <c r="B153" t="s">
        <v>41</v>
      </c>
    </row>
    <row r="154" spans="2:2" x14ac:dyDescent="0.15">
      <c r="B154" t="s">
        <v>77</v>
      </c>
    </row>
    <row r="155" spans="2:2" x14ac:dyDescent="0.15">
      <c r="B155" t="s">
        <v>78</v>
      </c>
    </row>
    <row r="156" spans="2:2" x14ac:dyDescent="0.15">
      <c r="B156" t="s">
        <v>79</v>
      </c>
    </row>
    <row r="157" spans="2:2" x14ac:dyDescent="0.15">
      <c r="B157" t="s">
        <v>45</v>
      </c>
    </row>
    <row r="158" spans="2:2" x14ac:dyDescent="0.15">
      <c r="B158" t="s">
        <v>30</v>
      </c>
    </row>
    <row r="160" spans="2:2" x14ac:dyDescent="0.15">
      <c r="B160" t="s">
        <v>80</v>
      </c>
    </row>
    <row r="161" spans="2:2" x14ac:dyDescent="0.15">
      <c r="B161" t="s">
        <v>30</v>
      </c>
    </row>
    <row r="162" spans="2:2" x14ac:dyDescent="0.15">
      <c r="B162" t="e" cm="1">
        <f t="array" ref="B162">- 不要になったオブジェクトの適時解放</f>
        <v>#NAME?</v>
      </c>
    </row>
    <row r="163" spans="2:2" x14ac:dyDescent="0.15">
      <c r="B163" t="e" cm="1">
        <f t="array" ref="B163">- 接続プールの活用検討</f>
        <v>#NAME?</v>
      </c>
    </row>
    <row r="164" spans="2:2" x14ac:dyDescent="0.15">
      <c r="B164" t="e" cm="1">
        <f t="array" ref="B164">- メモリ使用量の監視</f>
        <v>#NAME?</v>
      </c>
    </row>
    <row r="165" spans="2:2" x14ac:dyDescent="0.15">
      <c r="B165" t="s">
        <v>30</v>
      </c>
    </row>
    <row r="167" spans="2:2" x14ac:dyDescent="0.15">
      <c r="B167" t="s">
        <v>81</v>
      </c>
    </row>
    <row r="169" spans="2:2" x14ac:dyDescent="0.15">
      <c r="B169" t="s">
        <v>82</v>
      </c>
    </row>
    <row r="170" spans="2:2" x14ac:dyDescent="0.15">
      <c r="B170" t="s">
        <v>30</v>
      </c>
    </row>
    <row r="171" spans="2:2" x14ac:dyDescent="0.15">
      <c r="B171" t="e" cm="1">
        <f t="array" ref="B171">- SQLインジェクション対策 (現状はTRAIN画面操作ベースのため影響小)</f>
        <v>#NAME?</v>
      </c>
    </row>
    <row r="172" spans="2:2" x14ac:dyDescent="0.15">
      <c r="B172" t="e" cm="1">
        <f t="array" ref="B172">- XSS対策 (出力時に適切なエスケープ処理)</f>
        <v>#NAME?</v>
      </c>
    </row>
    <row r="173" spans="2:2" x14ac:dyDescent="0.15">
      <c r="B173" t="s">
        <v>30</v>
      </c>
    </row>
    <row r="175" spans="2:2" x14ac:dyDescent="0.15">
      <c r="B175" t="s">
        <v>83</v>
      </c>
    </row>
    <row r="176" spans="2:2" x14ac:dyDescent="0.15">
      <c r="B176" t="s">
        <v>30</v>
      </c>
    </row>
    <row r="177" spans="2:2" x14ac:dyDescent="0.15">
      <c r="B177" t="e" cm="1">
        <f t="array" ref="B177">- APIアクセス制限</f>
        <v>#NAME?</v>
      </c>
    </row>
    <row r="178" spans="2:2" x14ac:dyDescent="0.15">
      <c r="B178" t="e" cm="1">
        <f t="array" ref="B178">- セッション管理の強化</f>
        <v>#NAME?</v>
      </c>
    </row>
    <row r="179" spans="2:2" x14ac:dyDescent="0.15">
      <c r="B179" t="s">
        <v>30</v>
      </c>
    </row>
    <row r="181" spans="2:2" x14ac:dyDescent="0.15">
      <c r="B181" t="s">
        <v>84</v>
      </c>
    </row>
    <row r="183" spans="2:2" x14ac:dyDescent="0.15">
      <c r="B183" t="s">
        <v>85</v>
      </c>
    </row>
    <row r="184" spans="2:2" x14ac:dyDescent="0.15">
      <c r="B184" t="s">
        <v>30</v>
      </c>
    </row>
    <row r="185" spans="2:2" x14ac:dyDescent="0.15">
      <c r="B185" t="s">
        <v>86</v>
      </c>
    </row>
    <row r="186" spans="2:2" x14ac:dyDescent="0.15">
      <c r="B186" t="e" cm="1">
        <f t="array" ref="B186">- メジャーバージョン: 互換性のない変更</f>
        <v>#NAME?</v>
      </c>
    </row>
    <row r="187" spans="2:2" x14ac:dyDescent="0.15">
      <c r="B187" t="e" cm="1">
        <f t="array" ref="B187">- マイナーバージョン: 機能追加・後方互換性あり</f>
        <v>#NAME?</v>
      </c>
    </row>
    <row r="188" spans="2:2" x14ac:dyDescent="0.15">
      <c r="B188" t="e" cm="1">
        <f t="array" ref="B188">- パッチバージョン: バグ修正のみ</f>
        <v>#NAME?</v>
      </c>
    </row>
    <row r="189" spans="2:2" x14ac:dyDescent="0.15">
      <c r="B189" t="s">
        <v>30</v>
      </c>
    </row>
    <row r="191" spans="2:2" x14ac:dyDescent="0.15">
      <c r="B191" t="s">
        <v>87</v>
      </c>
    </row>
    <row r="192" spans="2:2" x14ac:dyDescent="0.15">
      <c r="B192" t="s">
        <v>30</v>
      </c>
    </row>
    <row r="193" spans="2:2" x14ac:dyDescent="0.15">
      <c r="B193" t="s">
        <v>88</v>
      </c>
    </row>
    <row r="194" spans="2:2" x14ac:dyDescent="0.15">
      <c r="B194" t="e" cm="1">
        <f t="array" ref="B194">- 作成日・作成者</f>
        <v>#NAME?</v>
      </c>
    </row>
    <row r="195" spans="2:2" x14ac:dyDescent="0.15">
      <c r="B195" t="e" cm="1">
        <f t="array" ref="B195">- 更新日・更新者・更新内容</f>
        <v>#NAME?</v>
      </c>
    </row>
    <row r="196" spans="2:2" x14ac:dyDescent="0.15">
      <c r="B196" t="e" cm="1">
        <f t="array" ref="B196">- 対応PJ番号</f>
        <v>#NAME?</v>
      </c>
    </row>
    <row r="197" spans="2:2" x14ac:dyDescent="0.15">
      <c r="B197" t="s">
        <v>30</v>
      </c>
    </row>
    <row r="199" spans="2:2" x14ac:dyDescent="0.15">
      <c r="B199" t="s">
        <v>89</v>
      </c>
    </row>
    <row r="201" spans="2:2" x14ac:dyDescent="0.15">
      <c r="B201" t="s">
        <v>90</v>
      </c>
    </row>
    <row r="202" spans="2:2" x14ac:dyDescent="0.15">
      <c r="B202" t="s">
        <v>30</v>
      </c>
    </row>
    <row r="203" spans="2:2" x14ac:dyDescent="0.15">
      <c r="B203" t="s">
        <v>91</v>
      </c>
    </row>
    <row r="204" spans="2:2" x14ac:dyDescent="0.15">
      <c r="B204" t="s">
        <v>92</v>
      </c>
    </row>
    <row r="205" spans="2:2" x14ac:dyDescent="0.15">
      <c r="B205" t="e" cm="1">
        <f t="array" ref="B205">- RESTful APIとしての再設計</f>
        <v>#NAME?</v>
      </c>
    </row>
    <row r="206" spans="2:2" x14ac:dyDescent="0.15">
      <c r="B206" t="e" cm="1">
        <f t="array" ref="B206">- マイクロサービス化</f>
        <v>#NAME?</v>
      </c>
    </row>
    <row r="207" spans="2:2" x14ac:dyDescent="0.15">
      <c r="B207" t="s">
        <v>30</v>
      </c>
    </row>
    <row r="209" spans="2:2" x14ac:dyDescent="0.15">
      <c r="B209" t="s">
        <v>93</v>
      </c>
    </row>
    <row r="210" spans="2:2" x14ac:dyDescent="0.15">
      <c r="B210" t="s">
        <v>30</v>
      </c>
    </row>
    <row r="211" spans="2:2" x14ac:dyDescent="0.15">
      <c r="B211" t="e" cm="1">
        <f t="array" ref="B211">- パフォーマンスメトリクスの収集</f>
        <v>#NAME?</v>
      </c>
    </row>
    <row r="212" spans="2:2" x14ac:dyDescent="0.15">
      <c r="B212" t="e" cm="1">
        <f t="array" ref="B212">- エラーログの集約</f>
        <v>#NAME?</v>
      </c>
    </row>
    <row r="213" spans="2:2" x14ac:dyDescent="0.15">
      <c r="B213" t="e" cm="1">
        <f t="array" ref="B213">- 利用統計の収集</f>
        <v>#NAME?</v>
      </c>
    </row>
    <row r="214" spans="2:2" x14ac:dyDescent="0.15">
      <c r="B214" t="s">
        <v>30</v>
      </c>
    </row>
    <row r="216" spans="2:2" x14ac:dyDescent="0.15">
      <c r="B216" t="s">
        <v>94</v>
      </c>
    </row>
    <row r="218" spans="2:2" x14ac:dyDescent="0.15">
      <c r="B218" t="s">
        <v>95</v>
      </c>
    </row>
    <row r="220" spans="2:2" x14ac:dyDescent="0.15">
      <c r="B220" t="s">
        <v>96</v>
      </c>
    </row>
    <row r="221" spans="2:2" x14ac:dyDescent="0.15">
      <c r="B221" t="s">
        <v>97</v>
      </c>
    </row>
    <row r="222" spans="2:2" x14ac:dyDescent="0.15">
      <c r="B222" t="s">
        <v>98</v>
      </c>
    </row>
    <row r="223" spans="2:2" x14ac:dyDescent="0.15">
      <c r="B223" t="s">
        <v>99</v>
      </c>
    </row>
    <row r="225" spans="2:2" x14ac:dyDescent="0.15">
      <c r="B225"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 松涛(songtao li)</dc:creator>
  <cp:lastModifiedBy>李 松涛(songtao li)</cp:lastModifiedBy>
  <dcterms:created xsi:type="dcterms:W3CDTF">2025-09-19T00:42:40Z</dcterms:created>
  <dcterms:modified xsi:type="dcterms:W3CDTF">2025-09-19T00:43:11Z</dcterms:modified>
</cp:coreProperties>
</file>