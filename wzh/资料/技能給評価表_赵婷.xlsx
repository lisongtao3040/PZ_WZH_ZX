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11043787\Desktop\"/>
    </mc:Choice>
  </mc:AlternateContent>
  <xr:revisionPtr revIDLastSave="0" documentId="13_ncr:1_{1C730454-2530-4C19-B403-111BE507CF40}" xr6:coauthVersionLast="47" xr6:coauthVersionMax="47" xr10:uidLastSave="{00000000-0000-0000-0000-000000000000}"/>
  <bookViews>
    <workbookView xWindow="-120" yWindow="-120" windowWidth="29040" windowHeight="15990" activeTab="1" xr2:uid="{00000000-000D-0000-FFFF-FFFF00000000}"/>
  </bookViews>
  <sheets>
    <sheet name="技術者" sheetId="114" r:id="rId1"/>
    <sheet name="個人まとめ" sheetId="116" r:id="rId2"/>
  </sheets>
  <definedNames>
    <definedName name="_xlnm.Print_Area" localSheetId="1">個人まとめ!$A$1:$L$46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5" i="114" l="1"/>
  <c r="BB45" i="114"/>
  <c r="AX45" i="114"/>
  <c r="BB25" i="114" l="1"/>
  <c r="I62" i="114" s="1"/>
  <c r="AZ54" i="114"/>
  <c r="AE61" i="114" s="1"/>
  <c r="BB54" i="114"/>
  <c r="AE62" i="114" s="1"/>
  <c r="AX54" i="114"/>
  <c r="U62" i="114"/>
  <c r="U61" i="114"/>
  <c r="AW20" i="114"/>
  <c r="AZ20" i="114" s="1"/>
  <c r="AW15" i="114"/>
  <c r="AZ15" i="114" s="1"/>
  <c r="AW10" i="114"/>
  <c r="AZ10" i="114" s="1"/>
  <c r="Q25" i="114"/>
  <c r="AH20" i="114"/>
  <c r="AX20" i="114" s="1"/>
  <c r="AH15" i="114"/>
  <c r="AX15" i="114" s="1"/>
  <c r="AH10" i="114"/>
  <c r="AX10" i="114" s="1"/>
  <c r="AX25" i="114" l="1"/>
  <c r="AZ25" i="114"/>
  <c r="I61" i="114" s="1"/>
  <c r="AN61" i="114" s="1"/>
  <c r="AN62" i="114"/>
  <c r="BK45" i="114"/>
  <c r="BJ45" i="114"/>
  <c r="BI45" i="114"/>
  <c r="BG45" i="114"/>
  <c r="BF45" i="114"/>
  <c r="Q45" i="114"/>
</calcChain>
</file>

<file path=xl/sharedStrings.xml><?xml version="1.0" encoding="utf-8"?>
<sst xmlns="http://schemas.openxmlformats.org/spreadsheetml/2006/main" count="293" uniqueCount="221">
  <si>
    <t>氏名</t>
    <phoneticPr fontId="2"/>
  </si>
  <si>
    <t>一次評価者</t>
    <phoneticPr fontId="2"/>
  </si>
  <si>
    <t>所属</t>
    <phoneticPr fontId="2"/>
  </si>
  <si>
    <t>二次評価者</t>
    <phoneticPr fontId="2"/>
  </si>
  <si>
    <t>重点テーマ</t>
    <phoneticPr fontId="2"/>
  </si>
  <si>
    <t>テーマ</t>
    <phoneticPr fontId="2"/>
  </si>
  <si>
    <t>ウエイト</t>
    <phoneticPr fontId="2"/>
  </si>
  <si>
    <t>自己評価</t>
    <phoneticPr fontId="2"/>
  </si>
  <si>
    <t>上司評価</t>
    <phoneticPr fontId="2"/>
  </si>
  <si>
    <t>本人</t>
    <rPh sb="0" eb="2">
      <t>ホンニン</t>
    </rPh>
    <phoneticPr fontId="2"/>
  </si>
  <si>
    <t>1次</t>
    <rPh sb="1" eb="2">
      <t>ジ</t>
    </rPh>
    <phoneticPr fontId="2"/>
  </si>
  <si>
    <t>2次</t>
    <rPh sb="1" eb="2">
      <t>ジ</t>
    </rPh>
    <phoneticPr fontId="2"/>
  </si>
  <si>
    <t>①難易度　</t>
    <phoneticPr fontId="2"/>
  </si>
  <si>
    <t>0-5-10-15-20</t>
    <phoneticPr fontId="2"/>
  </si>
  <si>
    <t>小
計</t>
    <phoneticPr fontId="2"/>
  </si>
  <si>
    <t>②新規性</t>
    <phoneticPr fontId="2"/>
  </si>
  <si>
    <t>③スピード・納期</t>
    <phoneticPr fontId="2"/>
  </si>
  <si>
    <t>④品質</t>
    <phoneticPr fontId="2"/>
  </si>
  <si>
    <t>⑤貢献度</t>
    <rPh sb="1" eb="3">
      <t>コウケン</t>
    </rPh>
    <rPh sb="3" eb="4">
      <t>ド</t>
    </rPh>
    <phoneticPr fontId="2"/>
  </si>
  <si>
    <t>合計</t>
    <rPh sb="0" eb="2">
      <t>ゴウケイ</t>
    </rPh>
    <phoneticPr fontId="2"/>
  </si>
  <si>
    <t>【目標の評価基準】　期待を大きく下回る－やや下回る－期待どうり－やや上回る－期待を大きく上回る</t>
    <phoneticPr fontId="2"/>
  </si>
  <si>
    <t xml:space="preserve">PM-1 </t>
    <phoneticPr fontId="9"/>
  </si>
  <si>
    <t>SD-H-1</t>
    <phoneticPr fontId="9"/>
  </si>
  <si>
    <t>評価項目</t>
    <rPh sb="0" eb="2">
      <t>ヒョウカ</t>
    </rPh>
    <rPh sb="2" eb="4">
      <t>コウモク</t>
    </rPh>
    <phoneticPr fontId="2"/>
  </si>
  <si>
    <t>定義</t>
    <rPh sb="0" eb="2">
      <t>テイギ</t>
    </rPh>
    <phoneticPr fontId="2"/>
  </si>
  <si>
    <t>点数</t>
    <rPh sb="0" eb="2">
      <t>テンスウ</t>
    </rPh>
    <phoneticPr fontId="2"/>
  </si>
  <si>
    <r>
      <t xml:space="preserve">0
</t>
    </r>
    <r>
      <rPr>
        <sz val="9"/>
        <color theme="1"/>
        <rFont val="HG明朝E"/>
        <family val="1"/>
        <charset val="128"/>
      </rPr>
      <t>（劣るレベル）</t>
    </r>
    <phoneticPr fontId="2"/>
  </si>
  <si>
    <r>
      <t xml:space="preserve">1
</t>
    </r>
    <r>
      <rPr>
        <sz val="9"/>
        <color theme="1"/>
        <rFont val="HG明朝E"/>
        <family val="1"/>
        <charset val="128"/>
      </rPr>
      <t>（やや劣るレベル）</t>
    </r>
    <phoneticPr fontId="2"/>
  </si>
  <si>
    <r>
      <t xml:space="preserve">2
</t>
    </r>
    <r>
      <rPr>
        <sz val="9"/>
        <color theme="1"/>
        <rFont val="HG明朝E"/>
        <family val="1"/>
        <charset val="128"/>
      </rPr>
      <t>（標準レベル）</t>
    </r>
    <phoneticPr fontId="2"/>
  </si>
  <si>
    <r>
      <t xml:space="preserve">3
</t>
    </r>
    <r>
      <rPr>
        <sz val="9"/>
        <color theme="1"/>
        <rFont val="HG明朝E"/>
        <family val="1"/>
        <charset val="128"/>
      </rPr>
      <t>（優秀レベル）</t>
    </r>
    <phoneticPr fontId="2"/>
  </si>
  <si>
    <r>
      <t xml:space="preserve">4
</t>
    </r>
    <r>
      <rPr>
        <sz val="9"/>
        <color theme="1"/>
        <rFont val="HG明朝E"/>
        <family val="1"/>
        <charset val="128"/>
      </rPr>
      <t>（最優秀レベル）</t>
    </r>
    <phoneticPr fontId="2"/>
  </si>
  <si>
    <t>-</t>
    <phoneticPr fontId="2"/>
  </si>
  <si>
    <t>PL</t>
    <phoneticPr fontId="2"/>
  </si>
  <si>
    <t>SE</t>
    <phoneticPr fontId="2"/>
  </si>
  <si>
    <t>PG</t>
    <phoneticPr fontId="2"/>
  </si>
  <si>
    <t>プロジェクト
ベースライン
マネジメントスキル</t>
    <phoneticPr fontId="2"/>
  </si>
  <si>
    <t>プロジェクトを遂行するために
コスト・スケジュール・スコープのベースラインを計画・作成・監視・コントロールをできていたか</t>
    <rPh sb="38" eb="40">
      <t>ケイカク</t>
    </rPh>
    <rPh sb="41" eb="43">
      <t>サクセイ</t>
    </rPh>
    <rPh sb="44" eb="46">
      <t>カンシ</t>
    </rPh>
    <phoneticPr fontId="2"/>
  </si>
  <si>
    <t>プロジェクトベースラインの計画・作成・監視・コントロールのスキルが不足であった</t>
    <rPh sb="13" eb="15">
      <t>ケイカク</t>
    </rPh>
    <rPh sb="33" eb="35">
      <t>フソク</t>
    </rPh>
    <phoneticPr fontId="2"/>
  </si>
  <si>
    <t>・資源の明確
・人員とスキルの計画
・作業の定義と分解
・成果物の定義
をできていた</t>
    <rPh sb="1" eb="3">
      <t>シゲン</t>
    </rPh>
    <rPh sb="4" eb="6">
      <t>メイカク</t>
    </rPh>
    <rPh sb="8" eb="10">
      <t>ジンイン</t>
    </rPh>
    <rPh sb="15" eb="17">
      <t>ケイカク</t>
    </rPh>
    <rPh sb="19" eb="21">
      <t>サギョウ</t>
    </rPh>
    <rPh sb="25" eb="27">
      <t>ブンカイ</t>
    </rPh>
    <phoneticPr fontId="2"/>
  </si>
  <si>
    <t>・資源の概算金額算出
・チームの編成
・スケジュール作成
・タスクの定義
をできていた</t>
    <rPh sb="1" eb="3">
      <t>シゲン</t>
    </rPh>
    <rPh sb="4" eb="6">
      <t>ガイサン</t>
    </rPh>
    <rPh sb="6" eb="8">
      <t>キンガク</t>
    </rPh>
    <rPh sb="8" eb="10">
      <t>サンシュツ</t>
    </rPh>
    <rPh sb="26" eb="28">
      <t>サクセイ</t>
    </rPh>
    <phoneticPr fontId="2"/>
  </si>
  <si>
    <t>・コスト計画策定
・進捗測定と差異対応
・成果物の定義見直し
・タスクの定義見直し
をできていた</t>
    <rPh sb="4" eb="6">
      <t>ケイカク</t>
    </rPh>
    <rPh sb="6" eb="8">
      <t>サクテイ</t>
    </rPh>
    <rPh sb="10" eb="12">
      <t>シンチョク</t>
    </rPh>
    <rPh sb="12" eb="14">
      <t>ソクテイ</t>
    </rPh>
    <rPh sb="15" eb="17">
      <t>サイ</t>
    </rPh>
    <rPh sb="17" eb="19">
      <t>タイオウ</t>
    </rPh>
    <rPh sb="38" eb="40">
      <t>ミナオ</t>
    </rPh>
    <phoneticPr fontId="2"/>
  </si>
  <si>
    <t>・コスト計画変更
・過程でのブレ補正
・人員増減調整
・作業順番変更
をできていた</t>
    <rPh sb="6" eb="8">
      <t>ヘンコウ</t>
    </rPh>
    <rPh sb="22" eb="24">
      <t>ゾウゲン</t>
    </rPh>
    <rPh sb="24" eb="26">
      <t>チョウセイ</t>
    </rPh>
    <phoneticPr fontId="2"/>
  </si>
  <si>
    <t>プロジェクトリスク
マネジメントスキル</t>
    <phoneticPr fontId="2"/>
  </si>
  <si>
    <t>プロジェクトの特性に応じて発生する可能性があるリスクとその対応策を予め洗い出しておいたか</t>
    <phoneticPr fontId="2"/>
  </si>
  <si>
    <t>リスクの識別ができてなかった</t>
    <phoneticPr fontId="2"/>
  </si>
  <si>
    <t>・リスクの評価
・リスク優先順位付け
を実施できていた</t>
    <phoneticPr fontId="2"/>
  </si>
  <si>
    <t>・リスク対応計画
を作成できていた</t>
    <rPh sb="10" eb="12">
      <t>サクセイ</t>
    </rPh>
    <phoneticPr fontId="2"/>
  </si>
  <si>
    <t>・リスク監視
・リスクコントロール
ができていた</t>
    <phoneticPr fontId="2"/>
  </si>
  <si>
    <t>プロジェクト品質
マネジメントスキル</t>
    <phoneticPr fontId="2"/>
  </si>
  <si>
    <t>プロジェクトの成果物が与える顧客等が持つニーズに対する満足を確実にするためのマネジメントをできていたか</t>
    <phoneticPr fontId="2"/>
  </si>
  <si>
    <t>マネジメントスキルがやや不足であった</t>
    <rPh sb="12" eb="14">
      <t>フソク</t>
    </rPh>
    <phoneticPr fontId="2"/>
  </si>
  <si>
    <t>品質方針、目標および責任を定めていた</t>
    <phoneticPr fontId="2"/>
  </si>
  <si>
    <t>・品質計画作成
・レビューやテストで
　の品質確認
をできていた</t>
    <rPh sb="5" eb="7">
      <t>サクセイ</t>
    </rPh>
    <phoneticPr fontId="2"/>
  </si>
  <si>
    <t>・品質確保要素分析
・品質悪化原因調査
による品質改善を実施していた</t>
    <rPh sb="3" eb="5">
      <t>カクホ</t>
    </rPh>
    <rPh sb="13" eb="15">
      <t>アッカ</t>
    </rPh>
    <rPh sb="23" eb="25">
      <t>ヒンシツ</t>
    </rPh>
    <rPh sb="25" eb="27">
      <t>カイゼン</t>
    </rPh>
    <rPh sb="28" eb="30">
      <t>ジッシ</t>
    </rPh>
    <phoneticPr fontId="2"/>
  </si>
  <si>
    <t>・品質方針作成
・品質目標策定
・品質責任確定
による品質管理を実施していた</t>
    <rPh sb="5" eb="7">
      <t>サクセイ</t>
    </rPh>
    <rPh sb="9" eb="11">
      <t>ヒンシツ</t>
    </rPh>
    <rPh sb="13" eb="15">
      <t>サクテイ</t>
    </rPh>
    <rPh sb="17" eb="19">
      <t>ヒンシツ</t>
    </rPh>
    <rPh sb="21" eb="23">
      <t>カクテイ</t>
    </rPh>
    <rPh sb="27" eb="29">
      <t>ヒンシツ</t>
    </rPh>
    <rPh sb="29" eb="31">
      <t>カンリ</t>
    </rPh>
    <phoneticPr fontId="2"/>
  </si>
  <si>
    <t>ITリテラシー</t>
    <phoneticPr fontId="2"/>
  </si>
  <si>
    <t>メンバーへ技術的なアドバイスを行ったりタスクをブレイクダウンして、理解させるスキルを持っているか</t>
    <rPh sb="5" eb="7">
      <t>ギジュツ</t>
    </rPh>
    <rPh sb="7" eb="8">
      <t>テキ</t>
    </rPh>
    <rPh sb="15" eb="16">
      <t>オコナ</t>
    </rPh>
    <rPh sb="33" eb="35">
      <t>リカイ</t>
    </rPh>
    <rPh sb="42" eb="43">
      <t>モ</t>
    </rPh>
    <phoneticPr fontId="2"/>
  </si>
  <si>
    <t>ITリテラシーのスキルが不足し、意欲が見られなかった</t>
    <rPh sb="12" eb="14">
      <t>フソク</t>
    </rPh>
    <rPh sb="16" eb="18">
      <t>イヨク</t>
    </rPh>
    <phoneticPr fontId="2"/>
  </si>
  <si>
    <t>常に新しいIT技術に注視し、自身に必要とされる知識を身に付けていた</t>
    <phoneticPr fontId="2"/>
  </si>
  <si>
    <t>ITに関する知識や技術を常に最新バージョンにアップデートし続ける</t>
    <rPh sb="9" eb="11">
      <t>ギジュツ</t>
    </rPh>
    <phoneticPr fontId="2"/>
  </si>
  <si>
    <t>メンバーへ技術的なアドバイスを行ったりタスクをブレイクダウンして、理解させていた</t>
    <phoneticPr fontId="2"/>
  </si>
  <si>
    <t>ITリテラシーに対して高い意識を持ち、定期的にチーム全員を対象としてITリテラシー教育・研修を行っていた</t>
    <rPh sb="26" eb="28">
      <t>ゼンイン</t>
    </rPh>
    <rPh sb="29" eb="31">
      <t>タイショウ</t>
    </rPh>
    <phoneticPr fontId="2"/>
  </si>
  <si>
    <t>市場価値が高い
開発技術の獲得</t>
    <rPh sb="0" eb="2">
      <t>シジョウ</t>
    </rPh>
    <rPh sb="2" eb="4">
      <t>カチ</t>
    </rPh>
    <rPh sb="5" eb="6">
      <t>タカ</t>
    </rPh>
    <rPh sb="8" eb="10">
      <t>カイハツ</t>
    </rPh>
    <rPh sb="10" eb="12">
      <t>ギジュツ</t>
    </rPh>
    <rPh sb="13" eb="15">
      <t>カクトク</t>
    </rPh>
    <phoneticPr fontId="2"/>
  </si>
  <si>
    <t>市場価値が高い技術を積極的に獲得し、部門の業績向上に取り組んでいたか</t>
    <rPh sb="10" eb="12">
      <t>セッキョク</t>
    </rPh>
    <rPh sb="12" eb="13">
      <t>テキ</t>
    </rPh>
    <rPh sb="14" eb="16">
      <t>カクトク</t>
    </rPh>
    <rPh sb="18" eb="20">
      <t>ブモン</t>
    </rPh>
    <rPh sb="21" eb="23">
      <t>ギョウセキ</t>
    </rPh>
    <rPh sb="23" eb="25">
      <t>コウジョウ</t>
    </rPh>
    <phoneticPr fontId="2"/>
  </si>
  <si>
    <t>技術を獲得しようとする姿勢が薄かった</t>
    <rPh sb="3" eb="5">
      <t>カクトク</t>
    </rPh>
    <phoneticPr fontId="2"/>
  </si>
  <si>
    <t>技術を獲得しようと努力しているものの、やや物足りなかった</t>
    <phoneticPr fontId="2"/>
  </si>
  <si>
    <t>・一つの技術の獲得
・積極的に横展開する</t>
    <rPh sb="1" eb="2">
      <t>ヒト</t>
    </rPh>
    <rPh sb="4" eb="6">
      <t>ギジュツ</t>
    </rPh>
    <rPh sb="11" eb="13">
      <t>セッキョク</t>
    </rPh>
    <rPh sb="13" eb="14">
      <t>テキ</t>
    </rPh>
    <rPh sb="15" eb="16">
      <t>ヨコ</t>
    </rPh>
    <rPh sb="16" eb="18">
      <t>テンカイ</t>
    </rPh>
    <phoneticPr fontId="2"/>
  </si>
  <si>
    <t>・技術を業務に活用
・大きな貢献をできた</t>
    <rPh sb="4" eb="6">
      <t>ギョウム</t>
    </rPh>
    <rPh sb="7" eb="9">
      <t>カツヨウ</t>
    </rPh>
    <rPh sb="11" eb="12">
      <t>オオ</t>
    </rPh>
    <rPh sb="14" eb="16">
      <t>コウケン</t>
    </rPh>
    <phoneticPr fontId="2"/>
  </si>
  <si>
    <t>・常に技術を獲得する
・大きな受注成果あり</t>
    <phoneticPr fontId="2"/>
  </si>
  <si>
    <t>ヒアリング能力</t>
    <rPh sb="5" eb="7">
      <t>ノウリョク</t>
    </rPh>
    <phoneticPr fontId="2"/>
  </si>
  <si>
    <t>顧客やチームメンバーと密にコミュニケーションを取る能力を持ってプロジェクトをスムーズに進められているか</t>
    <rPh sb="0" eb="2">
      <t>コキャク</t>
    </rPh>
    <rPh sb="25" eb="27">
      <t>ノウリョク</t>
    </rPh>
    <rPh sb="28" eb="29">
      <t>モ</t>
    </rPh>
    <phoneticPr fontId="2"/>
  </si>
  <si>
    <t>お客様側の指示の理解やメンバーへの仕様伝達能力が不足あった</t>
    <rPh sb="24" eb="26">
      <t>フソク</t>
    </rPh>
    <phoneticPr fontId="2"/>
  </si>
  <si>
    <t>お客様とチームメンバーの認識や仕様の齟齬を回避できていた</t>
    <phoneticPr fontId="2"/>
  </si>
  <si>
    <t>顧客折衝スキルや交渉・調整力が十分にあって、顧客の信頼を得る</t>
    <rPh sb="15" eb="17">
      <t>ジュウブン</t>
    </rPh>
    <rPh sb="25" eb="27">
      <t>シンライ</t>
    </rPh>
    <rPh sb="28" eb="29">
      <t>エ</t>
    </rPh>
    <phoneticPr fontId="2"/>
  </si>
  <si>
    <t>開発プロセスに精通し、顧客の要望をシステムに落とし込める</t>
    <rPh sb="0" eb="2">
      <t>カイハツ</t>
    </rPh>
    <phoneticPr fontId="2"/>
  </si>
  <si>
    <t>顧客の抱えている問題点や課題を明確に聞き出し、適切な提案ができる</t>
    <phoneticPr fontId="2"/>
  </si>
  <si>
    <t>システム設計業務
必要な業務知識</t>
    <rPh sb="4" eb="6">
      <t>セッケイ</t>
    </rPh>
    <rPh sb="6" eb="8">
      <t>ギョウム</t>
    </rPh>
    <rPh sb="9" eb="11">
      <t>ヒツヨウ</t>
    </rPh>
    <rPh sb="12" eb="14">
      <t>ギョウム</t>
    </rPh>
    <rPh sb="14" eb="16">
      <t>チシキ</t>
    </rPh>
    <phoneticPr fontId="2"/>
  </si>
  <si>
    <t>開発業務に必要な一定レベル以上の業務・経営知識を保有し活用しているか</t>
    <rPh sb="0" eb="2">
      <t>カイハツ</t>
    </rPh>
    <phoneticPr fontId="2"/>
  </si>
  <si>
    <t>業界の知識が不足しており、改善意欲も見られなかった</t>
    <rPh sb="0" eb="2">
      <t>ギョウカイ</t>
    </rPh>
    <rPh sb="3" eb="5">
      <t>チシキ</t>
    </rPh>
    <phoneticPr fontId="2"/>
  </si>
  <si>
    <t>業界の知識をある程度身につけたが、日常の業務にはやや不足していた</t>
    <phoneticPr fontId="2"/>
  </si>
  <si>
    <t>業界の知識を保有しており、相手に信頼されていた</t>
    <rPh sb="16" eb="18">
      <t>シンライ</t>
    </rPh>
    <phoneticPr fontId="2"/>
  </si>
  <si>
    <t>業界の知識を十分に保有しており、システム提案もできていた</t>
    <rPh sb="6" eb="8">
      <t>ジュウブン</t>
    </rPh>
    <rPh sb="20" eb="22">
      <t>テイアン</t>
    </rPh>
    <phoneticPr fontId="2"/>
  </si>
  <si>
    <t>プロジェクト目標
の理解・推進</t>
    <rPh sb="6" eb="8">
      <t>モクヒョウ</t>
    </rPh>
    <rPh sb="10" eb="12">
      <t>リカイ</t>
    </rPh>
    <rPh sb="13" eb="15">
      <t>スイシン</t>
    </rPh>
    <phoneticPr fontId="2"/>
  </si>
  <si>
    <t>プロジェクト目標を理解し、部下や他チームを巻き込んで推進していたか</t>
    <rPh sb="6" eb="8">
      <t>モクヒョウ</t>
    </rPh>
    <rPh sb="9" eb="11">
      <t>リカイ</t>
    </rPh>
    <rPh sb="13" eb="15">
      <t>ブカ</t>
    </rPh>
    <rPh sb="16" eb="17">
      <t>タ</t>
    </rPh>
    <rPh sb="21" eb="22">
      <t>マ</t>
    </rPh>
    <rPh sb="23" eb="24">
      <t>コ</t>
    </rPh>
    <rPh sb="26" eb="28">
      <t>スイシン</t>
    </rPh>
    <phoneticPr fontId="2"/>
  </si>
  <si>
    <t>目標を理解・推進しようという意欲が見られなかった</t>
    <rPh sb="0" eb="2">
      <t>モクヒョウ</t>
    </rPh>
    <phoneticPr fontId="2"/>
  </si>
  <si>
    <t>目標に対する推進意欲はみられたが、周囲の巻き込みが不十分だった</t>
    <phoneticPr fontId="2"/>
  </si>
  <si>
    <t>目標を理解し、部下を巻き込んで推進していた</t>
    <phoneticPr fontId="2"/>
  </si>
  <si>
    <t>目標を十分に理解し、他チームも巻き込んで推進していた</t>
    <phoneticPr fontId="2"/>
  </si>
  <si>
    <t>目標に沿った周囲の巻き込み力に優れ、目に見える成果があった</t>
    <phoneticPr fontId="2"/>
  </si>
  <si>
    <t>開発チーム
マネジメント能力</t>
    <rPh sb="0" eb="2">
      <t>カイハツ</t>
    </rPh>
    <rPh sb="12" eb="14">
      <t>ノウリョク</t>
    </rPh>
    <phoneticPr fontId="2"/>
  </si>
  <si>
    <t>自チームの状況（メンバーの状況・タスク進捗状況・問題や課題状況など）を適切に管理するスキルを持っているか</t>
    <rPh sb="13" eb="15">
      <t>ジョウキョウ</t>
    </rPh>
    <rPh sb="19" eb="21">
      <t>シンチョク</t>
    </rPh>
    <rPh sb="21" eb="23">
      <t>ジョウキョウ</t>
    </rPh>
    <rPh sb="24" eb="26">
      <t>モンダイ</t>
    </rPh>
    <rPh sb="27" eb="29">
      <t>カダイ</t>
    </rPh>
    <rPh sb="29" eb="31">
      <t>ジョウキョウ</t>
    </rPh>
    <rPh sb="35" eb="37">
      <t>テキセツ</t>
    </rPh>
    <rPh sb="38" eb="40">
      <t>カンリ</t>
    </rPh>
    <rPh sb="46" eb="47">
      <t>モ</t>
    </rPh>
    <phoneticPr fontId="2"/>
  </si>
  <si>
    <t>最低限のチーム管理はできているが、不十分な面が見られた</t>
    <rPh sb="7" eb="9">
      <t>カンリ</t>
    </rPh>
    <phoneticPr fontId="2"/>
  </si>
  <si>
    <t>タスク優先順位の指定、業務フロー・業務環境の改善によって日々の業務（タスク）が効率的に行われていた</t>
    <phoneticPr fontId="2"/>
  </si>
  <si>
    <t>メンバーそれぞれを適切に導いて、チーム全体の生産性やモチベーションを維持、向上させていた</t>
    <rPh sb="22" eb="25">
      <t>セイサンセイ</t>
    </rPh>
    <phoneticPr fontId="2"/>
  </si>
  <si>
    <t>メンバーそれぞれが各々の役割を果たし、かつチーム一丸となって取り組める職場を作っていた</t>
    <rPh sb="38" eb="39">
      <t>ツク</t>
    </rPh>
    <phoneticPr fontId="2"/>
  </si>
  <si>
    <t>開発チーム
メンバー指導</t>
    <rPh sb="10" eb="12">
      <t>シドウ</t>
    </rPh>
    <phoneticPr fontId="2"/>
  </si>
  <si>
    <t>メンバーへの指導を積極的に行い、開発能力アップを実現していたか</t>
    <rPh sb="16" eb="18">
      <t>カイハツ</t>
    </rPh>
    <phoneticPr fontId="2"/>
  </si>
  <si>
    <t>関心がなく、殆ど指
導していなかった</t>
    <phoneticPr fontId="2"/>
  </si>
  <si>
    <t>開発業務を回せるための指導は行っていたが、不適切と不十分のところがあった</t>
    <rPh sb="0" eb="2">
      <t>カイハツ</t>
    </rPh>
    <rPh sb="2" eb="4">
      <t>ギョウム</t>
    </rPh>
    <rPh sb="5" eb="6">
      <t>マワ</t>
    </rPh>
    <rPh sb="25" eb="28">
      <t>フジュウブン</t>
    </rPh>
    <phoneticPr fontId="2"/>
  </si>
  <si>
    <t>開発に必要な指導は行い、開発業務上問題はなかった</t>
    <rPh sb="0" eb="2">
      <t>カイハツ</t>
    </rPh>
    <rPh sb="12" eb="14">
      <t>カイハツ</t>
    </rPh>
    <phoneticPr fontId="2"/>
  </si>
  <si>
    <t>積極的な指導を行
い、メンバーの開発能力向上をしておいた</t>
    <rPh sb="16" eb="18">
      <t>カイハツ</t>
    </rPh>
    <phoneticPr fontId="2"/>
  </si>
  <si>
    <t>メンバーの開発能力に応じた指導を行い、開発能力を向上させ、目に見える成果があった</t>
    <rPh sb="5" eb="7">
      <t>カイハツ</t>
    </rPh>
    <rPh sb="19" eb="21">
      <t>カイハツ</t>
    </rPh>
    <rPh sb="29" eb="30">
      <t>メ</t>
    </rPh>
    <phoneticPr fontId="2"/>
  </si>
  <si>
    <t>開発チーム
マネジメント能力</t>
    <rPh sb="0" eb="2">
      <t>カイハツ</t>
    </rPh>
    <phoneticPr fontId="2"/>
  </si>
  <si>
    <t>プロジェクトの進捗状況を常に把握し、成功に向け効率よくプロジェクトを管理、推進するマネジメント能力を持っているか</t>
    <rPh sb="50" eb="51">
      <t>モ</t>
    </rPh>
    <phoneticPr fontId="2"/>
  </si>
  <si>
    <t>個人の担当タスクの管理ができて、プログラマの成果物のレビューができる</t>
    <rPh sb="3" eb="5">
      <t>タントウ</t>
    </rPh>
    <rPh sb="9" eb="11">
      <t>カンリ</t>
    </rPh>
    <phoneticPr fontId="2"/>
  </si>
  <si>
    <t>プログラマーを複数人マネジメントでき、作業指示や問題解決などをできる</t>
    <rPh sb="24" eb="26">
      <t>モンダイ</t>
    </rPh>
    <rPh sb="26" eb="28">
      <t>カイケツ</t>
    </rPh>
    <phoneticPr fontId="2"/>
  </si>
  <si>
    <t>サブリーダーの位置づけでリーダーが不在の時は、自らがリーダーの役割を果たせ　　　　る</t>
    <phoneticPr fontId="2"/>
  </si>
  <si>
    <t>3名ほどのメンバーのリーダーとして、作業指示や進捗管理や品質管理などをできる</t>
    <rPh sb="28" eb="30">
      <t>ヒンシツ</t>
    </rPh>
    <rPh sb="30" eb="32">
      <t>カンリ</t>
    </rPh>
    <phoneticPr fontId="2"/>
  </si>
  <si>
    <t>5名以上のメンバーのリーダーとして、作業指示や進捗管理や品質管理などをできる</t>
    <phoneticPr fontId="2"/>
  </si>
  <si>
    <t>開発成果物
品質保証スキル</t>
    <rPh sb="0" eb="2">
      <t>カイハツ</t>
    </rPh>
    <rPh sb="2" eb="4">
      <t>セイカ</t>
    </rPh>
    <rPh sb="4" eb="5">
      <t>ブツ</t>
    </rPh>
    <rPh sb="6" eb="8">
      <t>ヒンシツ</t>
    </rPh>
    <rPh sb="8" eb="10">
      <t>ホショウ</t>
    </rPh>
    <phoneticPr fontId="2"/>
  </si>
  <si>
    <t>テストと検証のスキルを習得し、個人で開発成果物の品質確保ができていたか</t>
    <rPh sb="4" eb="6">
      <t>ケンショウ</t>
    </rPh>
    <rPh sb="11" eb="13">
      <t>シュウトク</t>
    </rPh>
    <rPh sb="15" eb="17">
      <t>コジン</t>
    </rPh>
    <rPh sb="18" eb="20">
      <t>カイハツ</t>
    </rPh>
    <rPh sb="20" eb="22">
      <t>セイカ</t>
    </rPh>
    <rPh sb="22" eb="23">
      <t>ブツ</t>
    </rPh>
    <rPh sb="24" eb="26">
      <t>ヒンシツ</t>
    </rPh>
    <rPh sb="26" eb="28">
      <t>カクホ</t>
    </rPh>
    <phoneticPr fontId="2"/>
  </si>
  <si>
    <t>個人での品質確保が不十分であった</t>
    <phoneticPr fontId="2"/>
  </si>
  <si>
    <t>個人でテスト密度を保証でき、担当タスクの工程内不良は0.003件/KLOCまで抑えていた</t>
    <rPh sb="6" eb="8">
      <t>ミツド</t>
    </rPh>
    <rPh sb="9" eb="11">
      <t>ホショウ</t>
    </rPh>
    <rPh sb="14" eb="16">
      <t>タントウ</t>
    </rPh>
    <rPh sb="20" eb="23">
      <t>コウテイナイ</t>
    </rPh>
    <rPh sb="23" eb="25">
      <t>フリョウ</t>
    </rPh>
    <rPh sb="39" eb="40">
      <t>オサ</t>
    </rPh>
    <phoneticPr fontId="2"/>
  </si>
  <si>
    <t>テスト精度を保証できて、担当タスクの工程内不良はゼロであった</t>
    <rPh sb="3" eb="5">
      <t>セイド</t>
    </rPh>
    <rPh sb="6" eb="8">
      <t>ホショウ</t>
    </rPh>
    <rPh sb="12" eb="14">
      <t>タントウ</t>
    </rPh>
    <rPh sb="18" eb="20">
      <t>コウテイ</t>
    </rPh>
    <rPh sb="20" eb="21">
      <t>ナイ</t>
    </rPh>
    <rPh sb="21" eb="23">
      <t>フリョウ</t>
    </rPh>
    <phoneticPr fontId="2"/>
  </si>
  <si>
    <t>高い品質保証能力を持
ち、第三者レビュー不要まで信頼されていた</t>
    <rPh sb="2" eb="4">
      <t>ヒンシツ</t>
    </rPh>
    <rPh sb="4" eb="6">
      <t>ホショウ</t>
    </rPh>
    <rPh sb="6" eb="8">
      <t>ノウリョク</t>
    </rPh>
    <rPh sb="13" eb="16">
      <t>ダイサンシャ</t>
    </rPh>
    <rPh sb="20" eb="22">
      <t>フヨウ</t>
    </rPh>
    <phoneticPr fontId="2"/>
  </si>
  <si>
    <t>開発タスク
スケジュール
管理スキル</t>
    <rPh sb="0" eb="2">
      <t>カイハツ</t>
    </rPh>
    <phoneticPr fontId="2"/>
  </si>
  <si>
    <t>システム開発の時間管理に留意し、タスク別の納期や段取りについて、自己管理ができていたか</t>
    <rPh sb="4" eb="6">
      <t>カイハツ</t>
    </rPh>
    <rPh sb="19" eb="20">
      <t>ベツ</t>
    </rPh>
    <phoneticPr fontId="2"/>
  </si>
  <si>
    <t>自己管理が不十分
であって、途中の納期や段取りの変更があった</t>
    <rPh sb="14" eb="16">
      <t>トチュウ</t>
    </rPh>
    <rPh sb="17" eb="19">
      <t>ノウキ</t>
    </rPh>
    <rPh sb="20" eb="22">
      <t>ダンド</t>
    </rPh>
    <rPh sb="24" eb="26">
      <t>ヘンコウ</t>
    </rPh>
    <phoneticPr fontId="2"/>
  </si>
  <si>
    <t>自己管理に不安が感
じられて、リーダーからの定期的な点検と指導が必要となった</t>
    <rPh sb="22" eb="25">
      <t>テイキテキ</t>
    </rPh>
    <rPh sb="26" eb="28">
      <t>テンケン</t>
    </rPh>
    <rPh sb="29" eb="31">
      <t>シドウ</t>
    </rPh>
    <rPh sb="32" eb="34">
      <t>ヒツヨウ</t>
    </rPh>
    <phoneticPr fontId="2"/>
  </si>
  <si>
    <t>時間管理に留意し、初回約束した納期を100%遵守できていた</t>
    <rPh sb="9" eb="11">
      <t>ショカイ</t>
    </rPh>
    <rPh sb="11" eb="13">
      <t>ヤクソク</t>
    </rPh>
    <rPh sb="15" eb="17">
      <t>ノウキ</t>
    </rPh>
    <rPh sb="22" eb="24">
      <t>ジュンシュ</t>
    </rPh>
    <phoneticPr fontId="2"/>
  </si>
  <si>
    <t>高い自己管理力を持
ち、納期の前倒しや段取りの変更にも提案や改善もできていた</t>
    <rPh sb="12" eb="14">
      <t>ノウキ</t>
    </rPh>
    <rPh sb="15" eb="16">
      <t>マエ</t>
    </rPh>
    <rPh sb="16" eb="17">
      <t>タオ</t>
    </rPh>
    <rPh sb="19" eb="22">
      <t>ダン</t>
    </rPh>
    <rPh sb="27" eb="29">
      <t>テイアン</t>
    </rPh>
    <rPh sb="30" eb="32">
      <t>カイゼン</t>
    </rPh>
    <phoneticPr fontId="2"/>
  </si>
  <si>
    <t>周囲にも良い影響（指導・サポート）を与えていた</t>
    <phoneticPr fontId="2"/>
  </si>
  <si>
    <t>システム設計スキル</t>
    <rPh sb="4" eb="6">
      <t>セッケイ</t>
    </rPh>
    <phoneticPr fontId="2"/>
  </si>
  <si>
    <t>顧客の仕事内容をよく理解し、顧客から要望を聞いて、それを仕様としてまとめ、システムの設計を行うスキルを持っているか</t>
    <rPh sb="45" eb="46">
      <t>オコナ</t>
    </rPh>
    <rPh sb="51" eb="52">
      <t>モ</t>
    </rPh>
    <phoneticPr fontId="2"/>
  </si>
  <si>
    <t>詳細設計書やUT仕様書を仕上げることができる</t>
    <phoneticPr fontId="2"/>
  </si>
  <si>
    <t>簡単なシステムであれば、基本設計＆実現方式定義書から詳細設計書やテスト仕様書を仕上げることができる</t>
    <phoneticPr fontId="2"/>
  </si>
  <si>
    <t>顧客の抱えている問題点や課題を明確にし、顧客のニーズに合ったシステムを提案できる</t>
    <rPh sb="35" eb="37">
      <t>テイアン</t>
    </rPh>
    <phoneticPr fontId="2"/>
  </si>
  <si>
    <t>新開発技術習得
への意欲</t>
    <rPh sb="0" eb="1">
      <t>シン</t>
    </rPh>
    <rPh sb="1" eb="3">
      <t>カイハツ</t>
    </rPh>
    <rPh sb="3" eb="5">
      <t>ギジュツ</t>
    </rPh>
    <rPh sb="5" eb="7">
      <t>シュウトク</t>
    </rPh>
    <rPh sb="10" eb="12">
      <t>イヨク</t>
    </rPh>
    <phoneticPr fontId="2"/>
  </si>
  <si>
    <t>新技術を積極的に習得しているか</t>
    <rPh sb="1" eb="3">
      <t>ギジュツ</t>
    </rPh>
    <phoneticPr fontId="2"/>
  </si>
  <si>
    <t>常に受身な姿勢で新技術を調べている</t>
    <rPh sb="8" eb="11">
      <t>シンギジュツ</t>
    </rPh>
    <rPh sb="12" eb="13">
      <t>シラ</t>
    </rPh>
    <phoneticPr fontId="2"/>
  </si>
  <si>
    <t>常に新しい技術情報を把握している</t>
    <rPh sb="0" eb="1">
      <t>ツネ</t>
    </rPh>
    <rPh sb="2" eb="3">
      <t>アタラ</t>
    </rPh>
    <rPh sb="5" eb="7">
      <t>ギジュツ</t>
    </rPh>
    <rPh sb="7" eb="9">
      <t>ジョウホウ</t>
    </rPh>
    <rPh sb="10" eb="12">
      <t>ハアク</t>
    </rPh>
    <phoneticPr fontId="2"/>
  </si>
  <si>
    <t>部内に展開されていない新技術を一つ習得しておいた</t>
    <rPh sb="0" eb="2">
      <t>ブナイ</t>
    </rPh>
    <rPh sb="3" eb="5">
      <t>テンカイ</t>
    </rPh>
    <rPh sb="11" eb="14">
      <t>シンギジュツ</t>
    </rPh>
    <rPh sb="15" eb="16">
      <t>ヒト</t>
    </rPh>
    <rPh sb="17" eb="19">
      <t>シュウトク</t>
    </rPh>
    <phoneticPr fontId="2"/>
  </si>
  <si>
    <t>部内に展開されていない新技術を２つ習得しておいた</t>
    <rPh sb="0" eb="2">
      <t>ブナイ</t>
    </rPh>
    <rPh sb="3" eb="5">
      <t>テンカイ</t>
    </rPh>
    <rPh sb="11" eb="14">
      <t>シンギジュツ</t>
    </rPh>
    <rPh sb="17" eb="19">
      <t>シュウトク</t>
    </rPh>
    <phoneticPr fontId="2"/>
  </si>
  <si>
    <t>部内に展開されていない新技術を3つ以上習得しておいた</t>
    <rPh sb="0" eb="2">
      <t>ブナイ</t>
    </rPh>
    <rPh sb="3" eb="5">
      <t>テンカイ</t>
    </rPh>
    <rPh sb="11" eb="14">
      <t>シンギジュツ</t>
    </rPh>
    <rPh sb="17" eb="19">
      <t>イジョウ</t>
    </rPh>
    <rPh sb="19" eb="21">
      <t>シュウトク</t>
    </rPh>
    <phoneticPr fontId="2"/>
  </si>
  <si>
    <t>開発能力</t>
    <rPh sb="0" eb="2">
      <t>カイハツ</t>
    </rPh>
    <rPh sb="2" eb="4">
      <t>ノウリョク</t>
    </rPh>
    <phoneticPr fontId="2"/>
  </si>
  <si>
    <t>担当領域に必要な一定レベル以上の開発技術を保有し活用しているか</t>
    <rPh sb="0" eb="2">
      <t>タントウ</t>
    </rPh>
    <rPh sb="2" eb="4">
      <t>リョウイキ</t>
    </rPh>
    <rPh sb="5" eb="7">
      <t>ヒツヨウ</t>
    </rPh>
    <rPh sb="8" eb="10">
      <t>イッテイ</t>
    </rPh>
    <rPh sb="13" eb="15">
      <t>イジョウ</t>
    </rPh>
    <rPh sb="16" eb="18">
      <t>カイハツ</t>
    </rPh>
    <rPh sb="18" eb="20">
      <t>ギジュツ</t>
    </rPh>
    <rPh sb="21" eb="23">
      <t>ホユウ</t>
    </rPh>
    <rPh sb="24" eb="26">
      <t>カツヨウ</t>
    </rPh>
    <phoneticPr fontId="2"/>
  </si>
  <si>
    <t xml:space="preserve">簡単な開発がある程度できているが技術が不足していた				</t>
  </si>
  <si>
    <t>比較的コーディングしやすいプログラミング言語やフレームワークを活用して、要求された仕事をこなす</t>
    <phoneticPr fontId="2"/>
  </si>
  <si>
    <t>あるプログラミング言語を活用して、効率的かつ正確・ある程度のスピードで仕事ができる</t>
    <phoneticPr fontId="2"/>
  </si>
  <si>
    <t>複数の言語や環境を使いこなし、誰でも利用できるフレームを作る事ができる</t>
    <phoneticPr fontId="2"/>
  </si>
  <si>
    <t>開発ドキュメント
作成能力</t>
    <rPh sb="0" eb="2">
      <t>カイハツ</t>
    </rPh>
    <rPh sb="9" eb="11">
      <t>サクセイ</t>
    </rPh>
    <rPh sb="11" eb="13">
      <t>ノウリョク</t>
    </rPh>
    <phoneticPr fontId="2"/>
  </si>
  <si>
    <t>担当工程に必要な開発ドキュメント作成スキルを保有し活用しているか</t>
    <rPh sb="0" eb="2">
      <t>タントウ</t>
    </rPh>
    <rPh sb="2" eb="4">
      <t>コウテイ</t>
    </rPh>
    <rPh sb="5" eb="7">
      <t>ヒツヨウ</t>
    </rPh>
    <rPh sb="8" eb="10">
      <t>カイハツ</t>
    </rPh>
    <rPh sb="16" eb="18">
      <t>サクセイ</t>
    </rPh>
    <rPh sb="22" eb="24">
      <t>ホユウ</t>
    </rPh>
    <rPh sb="25" eb="27">
      <t>カツヨウ</t>
    </rPh>
    <phoneticPr fontId="2"/>
  </si>
  <si>
    <t>能力が不足しており、日常の作業には大きな支障がでた</t>
  </si>
  <si>
    <t>能力は持っているが、日常の作業にはやや不足していた</t>
  </si>
  <si>
    <t>ほぼ保有しており、日常の作業には支障はなかった</t>
    <rPh sb="12" eb="14">
      <t>サギョウ</t>
    </rPh>
    <phoneticPr fontId="2"/>
  </si>
  <si>
    <t>高いスキルを保有しており、作業にも十分活用されていた</t>
    <rPh sb="13" eb="15">
      <t>サギョウ</t>
    </rPh>
    <phoneticPr fontId="2"/>
  </si>
  <si>
    <t>周囲にも良い影響（指導・サポート）を与えていた</t>
    <rPh sb="9" eb="11">
      <t>シドウ</t>
    </rPh>
    <phoneticPr fontId="2"/>
  </si>
  <si>
    <t>③</t>
    <phoneticPr fontId="2"/>
  </si>
  <si>
    <t>特
別
加
点
・
減
点</t>
    <phoneticPr fontId="2"/>
  </si>
  <si>
    <t>テーマ達成</t>
    <phoneticPr fontId="2"/>
  </si>
  <si>
    <t>達成水準（損失水準）</t>
    <phoneticPr fontId="2"/>
  </si>
  <si>
    <t>自己評価およびｺﾒﾝﾄ</t>
    <phoneticPr fontId="2"/>
  </si>
  <si>
    <t>上司評価およびｺﾒﾝﾄ</t>
  </si>
  <si>
    <t>上記の評価以外での特別貢献もしくは重大なミス・損失項</t>
    <rPh sb="3" eb="5">
      <t>ヒョウカ</t>
    </rPh>
    <phoneticPr fontId="2"/>
  </si>
  <si>
    <t>項目ごとに、部門への貢献度（ミス・損失）により１～５点程度加点（減点）</t>
    <rPh sb="6" eb="8">
      <t>ブモン</t>
    </rPh>
    <phoneticPr fontId="2"/>
  </si>
  <si>
    <t>本人コメント欄（上司に伝えたいことなどがあれば記入して下さい）</t>
    <phoneticPr fontId="2"/>
  </si>
  <si>
    <t>上司コメント欄</t>
    <phoneticPr fontId="2"/>
  </si>
  <si>
    <t>一次</t>
    <rPh sb="0" eb="2">
      <t>イチジ</t>
    </rPh>
    <phoneticPr fontId="2"/>
  </si>
  <si>
    <t>＋</t>
    <phoneticPr fontId="2"/>
  </si>
  <si>
    <t>＝</t>
    <phoneticPr fontId="2"/>
  </si>
  <si>
    <t>二次</t>
    <rPh sb="0" eb="2">
      <t>2ジ</t>
    </rPh>
    <phoneticPr fontId="2"/>
  </si>
  <si>
    <t>技能給評価表【社内技術職】</t>
    <rPh sb="0" eb="3">
      <t>ギノウキュウ</t>
    </rPh>
    <rPh sb="9" eb="11">
      <t>ギジュツ</t>
    </rPh>
    <phoneticPr fontId="2"/>
  </si>
  <si>
    <t>対象期間</t>
    <phoneticPr fontId="2"/>
  </si>
  <si>
    <r>
      <rPr>
        <sz val="11"/>
        <color theme="1"/>
        <rFont val="FangSong"/>
        <family val="3"/>
        <charset val="134"/>
      </rPr>
      <t>赵</t>
    </r>
    <r>
      <rPr>
        <sz val="11"/>
        <color theme="1"/>
        <rFont val="HG明朝E"/>
        <family val="1"/>
        <charset val="128"/>
      </rPr>
      <t>婷</t>
    </r>
    <phoneticPr fontId="2"/>
  </si>
  <si>
    <t>SC・SAP基盤係</t>
    <phoneticPr fontId="2"/>
  </si>
  <si>
    <t>等級</t>
    <phoneticPr fontId="2"/>
  </si>
  <si>
    <r>
      <t>中</t>
    </r>
    <r>
      <rPr>
        <sz val="11"/>
        <color theme="1"/>
        <rFont val="FangSong"/>
        <family val="3"/>
        <charset val="134"/>
      </rPr>
      <t>级</t>
    </r>
    <r>
      <rPr>
        <sz val="11"/>
        <color theme="1"/>
        <rFont val="HG明朝E"/>
        <family val="1"/>
        <charset val="128"/>
      </rPr>
      <t>6</t>
    </r>
    <phoneticPr fontId="2"/>
  </si>
  <si>
    <t>目標値・達成水準</t>
    <phoneticPr fontId="2"/>
  </si>
  <si>
    <t>業界の知識をある程度身につけ、相手が納得する受け答えができた</t>
    <phoneticPr fontId="2"/>
  </si>
  <si>
    <t>周囲にも良い影響（指導・レビュー）を与えていた</t>
    <phoneticPr fontId="2"/>
  </si>
  <si>
    <t>言語や環境に関わらず、既存のものを使わずすべて新規開発でシステムやソフトウエアなどを開発できる</t>
    <phoneticPr fontId="2"/>
  </si>
  <si>
    <t>①×30%</t>
    <phoneticPr fontId="2"/>
  </si>
  <si>
    <t>常に起こるトラブルや課題に対してチームとしてどう解決していくのかを考えてメンバーを動かしていた</t>
    <phoneticPr fontId="2"/>
  </si>
  <si>
    <t>②×70%</t>
    <phoneticPr fontId="2"/>
  </si>
  <si>
    <t>クライアントの要望や課題をいかに細かく吸い上げ、仕様に落とし込むか否かの判断を正確にできる</t>
    <phoneticPr fontId="2"/>
  </si>
  <si>
    <t>複雑なシステムでも基本設計＆実現方式定義書から詳細設計書やテスト仕様書を仕上げることができる</t>
    <phoneticPr fontId="2"/>
  </si>
  <si>
    <t>評価実施日： 年  月  日</t>
    <phoneticPr fontId="2"/>
  </si>
  <si>
    <t>・リスクの識別
をある程度できていた</t>
    <phoneticPr fontId="2"/>
  </si>
  <si>
    <t>職
務
・
プ
ロ
セ
ス
・
技
能
・
知
識</t>
    <phoneticPr fontId="2"/>
  </si>
  <si>
    <t xml:space="preserve"> 2025 年 04月 01 日 ～  2025 年 09月 30 日</t>
    <phoneticPr fontId="2"/>
  </si>
  <si>
    <t>ラボ契約と一括案件の売上目標を達成する</t>
    <rPh sb="2" eb="4">
      <t>ケイヤク</t>
    </rPh>
    <rPh sb="5" eb="9">
      <t>イッカツアンケン</t>
    </rPh>
    <rPh sb="10" eb="12">
      <t>ウリアゲ</t>
    </rPh>
    <rPh sb="12" eb="14">
      <t>モクヒョウ</t>
    </rPh>
    <rPh sb="15" eb="17">
      <t>タッセイ</t>
    </rPh>
    <phoneticPr fontId="2"/>
  </si>
  <si>
    <t>売上目標:186.4‬‬‬(千元)
(ラボ174+改善12.4(千元))
売上実際:XXX(千元)
達成水準：XX</t>
    <rPh sb="14" eb="15">
      <t>セン</t>
    </rPh>
    <rPh sb="25" eb="27">
      <t>カイゼン</t>
    </rPh>
    <phoneticPr fontId="2"/>
  </si>
  <si>
    <t>重点テーマ</t>
    <rPh sb="0" eb="2">
      <t>ジュウテン</t>
    </rPh>
    <phoneticPr fontId="2"/>
  </si>
  <si>
    <t>実施背景：</t>
    <phoneticPr fontId="2"/>
  </si>
  <si>
    <t>達成水準:</t>
  </si>
  <si>
    <t>職務・プロセス・技能・知識</t>
    <phoneticPr fontId="2"/>
  </si>
  <si>
    <t>■ABAP開発の標準化レビュー</t>
    <phoneticPr fontId="2"/>
  </si>
  <si>
    <t>点数:3</t>
    <rPh sb="0" eb="2">
      <t>テンスウ</t>
    </rPh>
    <phoneticPr fontId="2"/>
  </si>
  <si>
    <t>実施対象案件:</t>
    <rPh sb="0" eb="2">
      <t>ジッシ</t>
    </rPh>
    <rPh sb="2" eb="4">
      <t>タイショウ</t>
    </rPh>
    <rPh sb="4" eb="6">
      <t>アンケン</t>
    </rPh>
    <phoneticPr fontId="2"/>
  </si>
  <si>
    <t>金属3rdと今後の金属4</t>
    <rPh sb="6" eb="8">
      <t>コンゴ</t>
    </rPh>
    <rPh sb="9" eb="11">
      <t>キンゾク</t>
    </rPh>
    <phoneticPr fontId="2"/>
  </si>
  <si>
    <r>
      <t>外住さんのソース標準化をレビューする事により、</t>
    </r>
    <r>
      <rPr>
        <sz val="11"/>
        <color rgb="FFFF0000"/>
        <rFont val="Meiryo UI"/>
        <family val="3"/>
        <charset val="128"/>
      </rPr>
      <t>開発成果物の品質を向上させた。</t>
    </r>
    <rPh sb="23" eb="25">
      <t>カイハツ</t>
    </rPh>
    <phoneticPr fontId="2"/>
  </si>
  <si>
    <t>売上目標：186.4‬‬‬(千元)</t>
    <phoneticPr fontId="280"/>
  </si>
  <si>
    <t>ラボ174+改善12.4(千元)</t>
  </si>
  <si>
    <r>
      <t>達成水準：</t>
    </r>
    <r>
      <rPr>
        <b/>
        <sz val="11"/>
        <color rgb="FFFF0000"/>
        <rFont val="Meiryo UI"/>
        <family val="3"/>
        <charset val="128"/>
      </rPr>
      <t>XX</t>
    </r>
    <phoneticPr fontId="2"/>
  </si>
  <si>
    <r>
      <t>売上実際：</t>
    </r>
    <r>
      <rPr>
        <b/>
        <sz val="11"/>
        <color rgb="FFFF0000"/>
        <rFont val="Meiryo UI"/>
        <family val="3"/>
        <charset val="128"/>
      </rPr>
      <t>XXX</t>
    </r>
    <r>
      <rPr>
        <sz val="11"/>
        <color theme="1"/>
        <rFont val="Meiryo UI"/>
        <family val="3"/>
        <charset val="128"/>
      </rPr>
      <t>(千元)</t>
    </r>
    <rPh sb="2" eb="4">
      <t>ジッサイ</t>
    </rPh>
    <phoneticPr fontId="2"/>
  </si>
  <si>
    <r>
      <t>※売上目標の</t>
    </r>
    <r>
      <rPr>
        <b/>
        <sz val="11"/>
        <color rgb="FFFF0000"/>
        <rFont val="Meiryo UI"/>
        <family val="3"/>
        <charset val="128"/>
      </rPr>
      <t>XXX</t>
    </r>
    <r>
      <rPr>
        <sz val="11"/>
        <color rgb="FFFF0000"/>
        <rFont val="Meiryo UI"/>
        <family val="3"/>
        <charset val="128"/>
      </rPr>
      <t>%</t>
    </r>
    <phoneticPr fontId="2"/>
  </si>
  <si>
    <t>目標を達成しました、引き続き頑張ります。</t>
    <phoneticPr fontId="2"/>
  </si>
  <si>
    <t>AIで習得したDelphiおよびPowerShell技術を活かし、AUTO-FAXシステムの自動化再構築を基本設計から結合テストまで全工程開発しました。</t>
    <phoneticPr fontId="2"/>
  </si>
  <si>
    <t>AIを活用して、生産性を向上する</t>
    <phoneticPr fontId="2"/>
  </si>
  <si>
    <t>■AIを活用して、生産性を向上する</t>
    <phoneticPr fontId="2"/>
  </si>
  <si>
    <t xml:space="preserve">・
</t>
    <phoneticPr fontId="2"/>
  </si>
  <si>
    <t>・AUTO-FAXシステムはDelphiをPowerShellへリファクタリングする全工程開発であり、要件定義から結合テストまで対象とする。</t>
    <phoneticPr fontId="2"/>
  </si>
  <si>
    <t>・DelphiおよびPowerShellの開発実践がなく、要件定義から基本設計における経験も不足している状況です。</t>
    <phoneticPr fontId="2"/>
  </si>
  <si>
    <t>実施背景：</t>
    <phoneticPr fontId="2"/>
  </si>
  <si>
    <r>
      <t>・効率化のために、</t>
    </r>
    <r>
      <rPr>
        <b/>
        <sz val="11"/>
        <color theme="1"/>
        <rFont val="Meiryo UI"/>
        <family val="3"/>
        <charset val="128"/>
      </rPr>
      <t>AIを用いて</t>
    </r>
    <r>
      <rPr>
        <sz val="11"/>
        <color theme="1"/>
        <rFont val="Meiryo UI"/>
        <family val="3"/>
        <charset val="128"/>
      </rPr>
      <t>既存のDelphiソースコードを解析し、業務ロジックを理解して、</t>
    </r>
    <r>
      <rPr>
        <b/>
        <sz val="11"/>
        <color theme="1"/>
        <rFont val="Meiryo UI"/>
        <family val="3"/>
        <charset val="128"/>
      </rPr>
      <t>仕様書と実装を完成</t>
    </r>
    <r>
      <rPr>
        <sz val="11"/>
        <color theme="1"/>
        <rFont val="Meiryo UI"/>
        <family val="3"/>
        <charset val="128"/>
      </rPr>
      <t>した。</t>
    </r>
    <rPh sb="51" eb="53">
      <t>ジッソウ</t>
    </rPh>
    <rPh sb="54" eb="56">
      <t>カンセイ</t>
    </rPh>
    <phoneticPr fontId="2"/>
  </si>
  <si>
    <t>やったこと：</t>
    <phoneticPr fontId="2"/>
  </si>
  <si>
    <t>わかったこと：</t>
    <phoneticPr fontId="2"/>
  </si>
  <si>
    <t>次にやること：</t>
    <phoneticPr fontId="2"/>
  </si>
  <si>
    <r>
      <t>・完了済み機能の</t>
    </r>
    <r>
      <rPr>
        <sz val="11"/>
        <color rgb="FFFF0000"/>
        <rFont val="Meiryo UI"/>
        <family val="3"/>
        <charset val="128"/>
      </rPr>
      <t>生産性は</t>
    </r>
    <r>
      <rPr>
        <b/>
        <sz val="11"/>
        <color rgb="FFFF0000"/>
        <rFont val="Meiryo UI"/>
        <family val="3"/>
        <charset val="128"/>
      </rPr>
      <t>0.62</t>
    </r>
    <r>
      <rPr>
        <sz val="11"/>
        <color theme="1"/>
        <rFont val="Meiryo UI"/>
        <family val="3"/>
        <charset val="128"/>
      </rPr>
      <t>（AI未使用時の想定生産性：約1.5）</t>
    </r>
    <phoneticPr fontId="2"/>
  </si>
  <si>
    <t>・コードを更に詳細化してAI解析を実施し、ドキュメント精度を向上させる</t>
    <phoneticPr fontId="2"/>
  </si>
  <si>
    <t>楊さんが開発した日本語テストウェブページをベースに、AI技術の支援のもと、そのウェブ機能の充実と最適化を実現しました。</t>
    <phoneticPr fontId="2"/>
  </si>
  <si>
    <t>AIを活用して、GAS技術を習得しました。</t>
    <phoneticPr fontId="2"/>
  </si>
  <si>
    <t>■AIを活用して、GAS技術を習得しました。</t>
    <phoneticPr fontId="2"/>
  </si>
  <si>
    <t>・楊さんの開発した日本語テストウェブページは、GASを使用しているため、その技術を学ぶ必要があります。</t>
    <phoneticPr fontId="2"/>
  </si>
  <si>
    <t>・効率化のために、AIを用いて既存のソースコードを解析し、実装を完了しました。</t>
    <phoneticPr fontId="2"/>
  </si>
  <si>
    <t>取り組み内容：</t>
    <phoneticPr fontId="2"/>
  </si>
  <si>
    <t>GAS習熟度:</t>
    <phoneticPr fontId="2"/>
  </si>
  <si>
    <r>
      <t>開発生産性（比較指標）：</t>
    </r>
    <r>
      <rPr>
        <sz val="12"/>
        <color rgb="FF0F1115"/>
        <rFont val="Segoe UI"/>
        <family val="2"/>
      </rPr>
      <t> </t>
    </r>
    <r>
      <rPr>
        <sz val="12"/>
        <color rgb="FF0F1115"/>
        <rFont val="ＭＳ Ｐゴシック"/>
        <family val="3"/>
        <charset val="128"/>
      </rPr>
      <t/>
    </r>
    <phoneticPr fontId="2"/>
  </si>
  <si>
    <r>
      <t>0% → 約</t>
    </r>
    <r>
      <rPr>
        <b/>
        <sz val="11"/>
        <color rgb="FFFF0000"/>
        <rFont val="Meiryo UI"/>
        <family val="3"/>
        <charset val="128"/>
      </rPr>
      <t>50</t>
    </r>
    <r>
      <rPr>
        <b/>
        <sz val="11"/>
        <color theme="1"/>
        <rFont val="Meiryo UI"/>
        <family val="3"/>
        <charset val="128"/>
      </rPr>
      <t>%</t>
    </r>
    <phoneticPr fontId="2"/>
  </si>
  <si>
    <r>
      <t> </t>
    </r>
    <r>
      <rPr>
        <sz val="12"/>
        <color rgb="FF0F1115"/>
        <rFont val="ＭＳ Ｐゴシック"/>
        <family val="3"/>
        <charset val="128"/>
      </rPr>
      <t>約</t>
    </r>
    <r>
      <rPr>
        <sz val="12"/>
        <color rgb="FF0F1115"/>
        <rFont val="Segoe UI"/>
        <family val="2"/>
      </rPr>
      <t xml:space="preserve"> </t>
    </r>
    <r>
      <rPr>
        <sz val="12"/>
        <color rgb="FFFF0000"/>
        <rFont val="Segoe UI"/>
        <family val="2"/>
      </rPr>
      <t>0.8</t>
    </r>
    <r>
      <rPr>
        <sz val="12"/>
        <color rgb="FF0F1115"/>
        <rFont val="Segoe UI"/>
        <family val="2"/>
      </rPr>
      <t xml:space="preserve"> </t>
    </r>
    <r>
      <rPr>
        <sz val="12"/>
        <color rgb="FF0F1115"/>
        <rFont val="ＭＳ Ｐゴシック"/>
        <family val="3"/>
        <charset val="128"/>
      </rPr>
      <t>←</t>
    </r>
    <r>
      <rPr>
        <sz val="12"/>
        <color rgb="FF0F1115"/>
        <rFont val="Segoe UI"/>
        <family val="2"/>
      </rPr>
      <t xml:space="preserve"> </t>
    </r>
    <r>
      <rPr>
        <sz val="12"/>
        <color rgb="FF0F1115"/>
        <rFont val="ＭＳ Ｐゴシック"/>
        <family val="3"/>
        <charset val="128"/>
      </rPr>
      <t>約</t>
    </r>
    <r>
      <rPr>
        <sz val="12"/>
        <color rgb="FF0F1115"/>
        <rFont val="Segoe UI"/>
        <family val="2"/>
      </rPr>
      <t xml:space="preserve"> 2.0</t>
    </r>
    <phoneticPr fontId="2"/>
  </si>
  <si>
    <t>■個人売上を拡大する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</si>
</sst>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41" formatCode="_-* #,##0_-;\-* #,##0_-;_-* &quot;-&quot;_-;_-@_-"/>
    <numFmt numFmtId="43" formatCode="_-* #,##0.00_-;\-* #,##0.00_-;_-* &quot;-&quot;??_-;_-@_-"/>
    <numFmt numFmtId="164" formatCode="&quot;¥&quot;#,##0;[Red]&quot;¥&quot;\-#,##0"/>
    <numFmt numFmtId="165" formatCode="&quot;¥&quot;#,##0.00;[Red]&quot;¥&quot;\-#,##0.00"/>
    <numFmt numFmtId="166" formatCode="_ &quot;¥&quot;* #,##0_ ;_ &quot;¥&quot;* \-#,##0_ ;_ &quot;¥&quot;* &quot;-&quot;_ ;_ @_ "/>
    <numFmt numFmtId="167" formatCode="_ * #,##0_ ;_ * \-#,##0_ ;_ * &quot;-&quot;_ ;_ @_ "/>
    <numFmt numFmtId="168" formatCode="_ &quot;¥&quot;* #,##0.00_ ;_ &quot;¥&quot;* \-#,##0.00_ ;_ &quot;¥&quot;* &quot;-&quot;??_ ;_ @_ "/>
    <numFmt numFmtId="169" formatCode="_ * #,##0.00_ ;_ * \-#,##0.00_ ;_ * &quot;-&quot;??_ ;_ @_ "/>
    <numFmt numFmtId="170" formatCode="0.0%"/>
    <numFmt numFmtId="171" formatCode="&quot;$&quot;#,##0_);[Red]\(&quot;$&quot;#,##0\)"/>
    <numFmt numFmtId="172" formatCode="#,##0;\-#,##0;&quot;-&quot;"/>
    <numFmt numFmtId="173" formatCode="m&quot;/&quot;d&quot;&quot;"/>
    <numFmt numFmtId="174" formatCode="0.0"/>
    <numFmt numFmtId="175" formatCode="#,##0.0;[Red]\-#,##0.0"/>
    <numFmt numFmtId="176" formatCode="_(* #,##0.0_);_(* \(#,##0.0\);_(* &quot;-&quot;??_);_(@_)"/>
    <numFmt numFmtId="177" formatCode="_-&quot;?&quot;* #,##0_-;\-&quot;?&quot;* #,##0_-;_-&quot;?&quot;* &quot;-&quot;_-;_-@_-"/>
    <numFmt numFmtId="178" formatCode="_-&quot;?&quot;* #,##0.00_-;\-&quot;?&quot;* #,##0.00_-;_-&quot;?&quot;* &quot;-&quot;??_-;_-@_-"/>
    <numFmt numFmtId="179" formatCode="#,##0.0;[Red]&quot;▲&quot;#,##0.0"/>
    <numFmt numFmtId="180" formatCode="0;0.0;"/>
    <numFmt numFmtId="181" formatCode="0;0;"/>
    <numFmt numFmtId="182" formatCode="#,##0.0;[Red]&quot; △&quot;* #,##0.0"/>
    <numFmt numFmtId="183" formatCode="\$#,##0\ ;\(\$#,##0\)"/>
    <numFmt numFmtId="184" formatCode="&quot;$&quot;#,##0;[Red]\-&quot;$&quot;#,##0"/>
    <numFmt numFmtId="185" formatCode="&quot;$&quot;#,##0.00;[Red]\-&quot;$&quot;#,##0.00"/>
    <numFmt numFmtId="186" formatCode="&quot;$&quot;#,##0.00_);[Red]\(&quot;$&quot;#,##0.00\)"/>
    <numFmt numFmtId="187" formatCode="####"/>
    <numFmt numFmtId="188" formatCode="#,##0.0&quot;%&quot;;[Red]\-#,##0.0&quot;%&quot;"/>
    <numFmt numFmtId="189" formatCode="&quot;¥&quot;#,##0;[Red]&quot;¥&quot;&quot;¥&quot;\-#,##0"/>
    <numFmt numFmtId="190" formatCode="&quot;¥&quot;#,##0.00;[Red]&quot;¥&quot;&quot;¥&quot;&quot;¥&quot;&quot;¥&quot;&quot;¥&quot;&quot;¥&quot;\-#,##0.00"/>
    <numFmt numFmtId="191" formatCode="\\#,##0;[Red]&quot;\-&quot;#,##0"/>
    <numFmt numFmtId="192" formatCode="\\#,##0.00;[Red]&quot;\-&quot;#,##0.00"/>
    <numFmt numFmtId="193" formatCode="#,##0_ "/>
    <numFmt numFmtId="194" formatCode="_(&quot;$&quot;* #,##0.00_);_(&quot;$&quot;* \(#,##0.00\);_(&quot;$&quot;* &quot;-&quot;??_);_(@_)"/>
    <numFmt numFmtId="195" formatCode="m/d"/>
    <numFmt numFmtId="196" formatCode="#,##0.0;\-#,##0.0"/>
    <numFmt numFmtId="197" formatCode="0;0.0"/>
    <numFmt numFmtId="198" formatCode="#,##0;&quot;▲ &quot;#,##0"/>
    <numFmt numFmtId="199" formatCode="0;0"/>
    <numFmt numFmtId="200" formatCode="&quot;$&quot;#,##0;[Red]&quot;$&quot;\-#,##0"/>
    <numFmt numFmtId="201" formatCode="\$#,##0;[Red]&quot;$-&quot;#,##0"/>
    <numFmt numFmtId="202" formatCode="_-* #,##0_-;\-* #,##0_-;_-* \-_-;_-@_-"/>
    <numFmt numFmtId="203" formatCode="#,##0.00000_);[Red]\(#,##0.00000\)"/>
    <numFmt numFmtId="204" formatCode="_(* #,##0_);_(* \(#,##0\);_(* \-??_);_(@_)"/>
    <numFmt numFmtId="205" formatCode="0%;\(0%\)"/>
    <numFmt numFmtId="206" formatCode="\$#,##0;[Red]&quot;-$&quot;#,##0"/>
    <numFmt numFmtId="207" formatCode="\$#,##0.00;&quot;-$&quot;#,##0.00"/>
    <numFmt numFmtId="208" formatCode="\\#,##0.00;[Red]&quot;\\-&quot;#,##0.00"/>
    <numFmt numFmtId="209" formatCode="d\-mmm\-yy\ h:mm\ AM/PM"/>
    <numFmt numFmtId="210" formatCode="_(* #,##0_);_(* \(#,##0\);_(* \-_);_(@_)"/>
    <numFmt numFmtId="211" formatCode="\$#,##0.00"/>
    <numFmt numFmtId="212" formatCode="_(&quot;$&quot;* #,##0.0_);_(&quot;$&quot;* \(#,##0.0\);_(&quot;$&quot;* &quot;-&quot;??_);_(@_)"/>
    <numFmt numFmtId="213" formatCode="yy/m/d"/>
    <numFmt numFmtId="214" formatCode="#,##0;[Red]\(#,##0\)"/>
    <numFmt numFmtId="215" formatCode="\\#,##0;[Red]&quot;\\-&quot;#,##0"/>
    <numFmt numFmtId="216" formatCode="\\#,##0.00;&quot;\\-&quot;#,##0.00"/>
    <numFmt numFmtId="217" formatCode="_ \\* #,##0_ ;_ \\* &quot;\-&quot;#,##0_ ;_ \\* \-_ ;_ @_ "/>
    <numFmt numFmtId="218" formatCode="\_x0000_\_x0000__(&quot;$&quot;* #,##0.00_);_(&quot;$&quot;* \(#,##0.00\);_(&quot;$&quot;* &quot;-&quot;??_);_(@"/>
    <numFmt numFmtId="219" formatCode="\_x0000_\_x0000__(&quot;$&quot;* #,##0_);_(&quot;$&quot;* \(#,##0\);_(&quot;$&quot;* &quot;-&quot;_);_(@"/>
    <numFmt numFmtId="220" formatCode="#\ ###\ ###\ ##0;[Red]\-#\ ##0"/>
    <numFmt numFmtId="221" formatCode="#\ ###\ ###\ ##0;&quot;△&quot;#\ ##0"/>
    <numFmt numFmtId="222" formatCode="0.0%;[Red]\-0.0%"/>
    <numFmt numFmtId="223" formatCode="&quot;(&quot;0%&quot;)   &quot;;[Red]\-&quot;(&quot;0%&quot;)   &quot;;&quot;－    &quot;"/>
    <numFmt numFmtId="224" formatCode="&quot;(&quot;0.00%&quot;)   &quot;;[Red]\-&quot;(&quot;0.00%&quot;)   &quot;;&quot;－    &quot;"/>
    <numFmt numFmtId="225" formatCode="0.00%;[Red]\-0.00%;&quot;－&quot;"/>
    <numFmt numFmtId="226" formatCode="_ * #,##0_ ;_ * \-#,##0_ ;_ * \-_ ;_ @_ "/>
    <numFmt numFmtId="227" formatCode="\t&quot;฿&quot;#,##0_);\(\t&quot;฿&quot;#,##0\)"/>
    <numFmt numFmtId="228" formatCode="_-&quot;฿&quot;* #,##0_-;\-&quot;฿&quot;* #,##0_-;_-&quot;฿&quot;* &quot;-&quot;_-;_-@_-"/>
    <numFmt numFmtId="229" formatCode="\$#,##0;&quot;-$&quot;#,##0"/>
    <numFmt numFmtId="230" formatCode="#,##0.0&quot;人月&quot;"/>
    <numFmt numFmtId="231" formatCode="0.0_ "/>
    <numFmt numFmtId="232" formatCode="0.00_ "/>
    <numFmt numFmtId="233" formatCode="0_ ;[Red]\-0\ "/>
    <numFmt numFmtId="234" formatCode="_(&quot;$&quot;* #,##0_);_(&quot;$&quot;* \(#,##0\);_(&quot;$&quot;* &quot;-&quot;_);_(@_)"/>
    <numFmt numFmtId="235" formatCode="m&quot;月&quot;"/>
    <numFmt numFmtId="236" formatCode="#.0"/>
    <numFmt numFmtId="237" formatCode="_ [$€-2]* #,##0.00_ ;_ [$€-2]* \-#,##0.00_ ;_ [$€-2]* &quot;-&quot;??_ "/>
    <numFmt numFmtId="238" formatCode="_(* #,##0.000000_);_(* \(#,##0.000000\);_(* &quot;-&quot;??_);_(@_)"/>
    <numFmt numFmtId="239" formatCode="#,##0_ ;[Red]\-#,##0\ "/>
    <numFmt numFmtId="240" formatCode="0_);\(0\)"/>
    <numFmt numFmtId="241" formatCode="_ \\* #,##0_ ;_ \\* \-#,##0_ ;_ \\* \-_ ;_ @_ "/>
  </numFmts>
  <fonts count="289">
    <font>
      <sz val="11"/>
      <color theme="1"/>
      <name val="Calibri"/>
      <family val="2"/>
      <charset val="128"/>
      <scheme val="minor"/>
    </font>
    <font>
      <sz val="11"/>
      <color theme="1"/>
      <name val="HG明朝E"/>
      <family val="1"/>
      <charset val="128"/>
    </font>
    <font>
      <sz val="6"/>
      <name val="Calibri"/>
      <family val="2"/>
      <charset val="128"/>
      <scheme val="minor"/>
    </font>
    <font>
      <sz val="10"/>
      <color theme="1"/>
      <name val="HG明朝E"/>
      <family val="1"/>
      <charset val="128"/>
    </font>
    <font>
      <sz val="9"/>
      <color theme="1"/>
      <name val="HG明朝E"/>
      <family val="1"/>
      <charset val="128"/>
    </font>
    <font>
      <sz val="9"/>
      <name val="HG明朝E"/>
      <family val="1"/>
      <charset val="128"/>
    </font>
    <font>
      <sz val="16"/>
      <color theme="1"/>
      <name val="HG明朝E"/>
      <family val="1"/>
      <charset val="128"/>
    </font>
    <font>
      <sz val="12"/>
      <color theme="1"/>
      <name val="HG明朝E"/>
      <family val="1"/>
      <charset val="128"/>
    </font>
    <font>
      <sz val="11"/>
      <color theme="1"/>
      <name val="Meiryo UI"/>
      <family val="3"/>
      <charset val="128"/>
    </font>
    <font>
      <sz val="6"/>
      <name val="Calibri"/>
      <family val="3"/>
      <charset val="128"/>
      <scheme val="minor"/>
    </font>
    <font>
      <sz val="11"/>
      <color theme="1"/>
      <name val="Calibri"/>
      <family val="3"/>
      <charset val="128"/>
      <scheme val="minor"/>
    </font>
    <font>
      <sz val="11"/>
      <name val="ＭＳ Ｐゴシック"/>
      <family val="3"/>
      <charset val="128"/>
    </font>
    <font>
      <sz val="9"/>
      <name val="ＭＳ Ｐゴシック"/>
      <family val="3"/>
      <charset val="128"/>
    </font>
    <font>
      <sz val="12"/>
      <name val="ＭＳ Ｐゴシック"/>
      <family val="3"/>
      <charset val="128"/>
    </font>
    <font>
      <sz val="12"/>
      <name val="宋体"/>
      <family val="4"/>
      <charset val="255"/>
    </font>
    <font>
      <u/>
      <sz val="10.199999999999999"/>
      <color indexed="12"/>
      <name val="宋体"/>
      <family val="4"/>
      <charset val="255"/>
    </font>
    <font>
      <sz val="10"/>
      <name val="Arial"/>
      <family val="2"/>
    </font>
    <font>
      <sz val="11"/>
      <name val="ＭＳ ゴシック"/>
      <family val="3"/>
      <charset val="128"/>
    </font>
    <font>
      <b/>
      <sz val="9"/>
      <name val="明朝"/>
      <family val="3"/>
      <charset val="128"/>
    </font>
    <font>
      <sz val="10"/>
      <name val="ＭＳ ゴシック"/>
      <family val="3"/>
      <charset val="128"/>
    </font>
    <font>
      <sz val="10"/>
      <color indexed="8"/>
      <name val="Arial"/>
      <family val="2"/>
    </font>
    <font>
      <sz val="10"/>
      <name val="Helv"/>
      <family val="2"/>
    </font>
    <font>
      <sz val="11"/>
      <name val="ＭＳ 明朝"/>
      <family val="1"/>
      <charset val="128"/>
    </font>
    <font>
      <sz val="8"/>
      <name val="Arial"/>
      <family val="2"/>
    </font>
    <font>
      <b/>
      <sz val="12"/>
      <name val="Arial"/>
      <family val="2"/>
    </font>
    <font>
      <sz val="11"/>
      <name val="明朝"/>
      <family val="3"/>
      <charset val="128"/>
    </font>
    <font>
      <sz val="10"/>
      <name val="ＭＳ 明朝"/>
      <family val="1"/>
      <charset val="128"/>
    </font>
    <font>
      <b/>
      <sz val="12"/>
      <name val="標準ゴシック"/>
      <family val="3"/>
      <charset val="128"/>
    </font>
    <font>
      <sz val="12"/>
      <name val="ＭＳ ゴシック"/>
      <family val="3"/>
      <charset val="128"/>
    </font>
    <font>
      <sz val="11"/>
      <name val="・団"/>
      <family val="1"/>
      <charset val="128"/>
    </font>
    <font>
      <u/>
      <sz val="11"/>
      <color indexed="36"/>
      <name val="ＭＳ ・団"/>
      <family val="1"/>
      <charset val="128"/>
    </font>
    <font>
      <sz val="14"/>
      <name val="ＭＳ 明朝"/>
      <family val="1"/>
      <charset val="128"/>
    </font>
    <font>
      <sz val="12"/>
      <name val="宋体"/>
      <family val="4"/>
      <charset val="255"/>
    </font>
    <font>
      <u/>
      <sz val="12"/>
      <color theme="10"/>
      <name val="宋体"/>
      <family val="4"/>
      <charset val="255"/>
    </font>
    <font>
      <sz val="11"/>
      <color theme="1"/>
      <name val="FangSong"/>
      <family val="3"/>
      <charset val="134"/>
    </font>
    <font>
      <sz val="9"/>
      <color theme="1"/>
      <name val="Meiryo UI"/>
      <family val="3"/>
      <charset val="128"/>
    </font>
    <font>
      <sz val="11"/>
      <color theme="1"/>
      <name val="Calibri"/>
      <family val="2"/>
      <charset val="128"/>
      <scheme val="minor"/>
    </font>
    <font>
      <sz val="12"/>
      <color theme="1"/>
      <name val="Meiryo UI"/>
      <family val="2"/>
      <charset val="128"/>
    </font>
    <font>
      <sz val="6"/>
      <name val="ＭＳ Ｐゴシック"/>
      <family val="3"/>
      <charset val="128"/>
    </font>
    <font>
      <sz val="11"/>
      <color indexed="17"/>
      <name val="ＭＳ Ｐゴシック"/>
      <family val="3"/>
      <charset val="128"/>
    </font>
    <font>
      <sz val="11"/>
      <color indexed="62"/>
      <name val="ＭＳ Ｐゴシック"/>
      <family val="3"/>
      <charset val="128"/>
    </font>
    <font>
      <sz val="11"/>
      <name val="明朝"/>
      <family val="1"/>
      <charset val="128"/>
    </font>
    <font>
      <sz val="11"/>
      <color indexed="8"/>
      <name val="ＭＳ Ｐゴシック"/>
      <family val="3"/>
      <charset val="128"/>
    </font>
    <font>
      <sz val="11"/>
      <name val="MS UI Gothic"/>
      <family val="3"/>
      <charset val="128"/>
    </font>
    <font>
      <sz val="9"/>
      <color theme="1"/>
      <name val="Meiryo UI"/>
      <family val="2"/>
      <charset val="128"/>
    </font>
    <font>
      <sz val="12"/>
      <name val="Helv"/>
      <family val="2"/>
    </font>
    <font>
      <sz val="12"/>
      <name val="???"/>
      <family val="1"/>
    </font>
    <font>
      <u/>
      <sz val="10"/>
      <color indexed="12"/>
      <name val="?? ?????"/>
      <family val="3"/>
      <charset val="128"/>
    </font>
    <font>
      <u/>
      <sz val="9.9"/>
      <color indexed="12"/>
      <name val="Arial"/>
      <family val="2"/>
    </font>
    <font>
      <u/>
      <sz val="9.9"/>
      <color indexed="36"/>
      <name val="Arial"/>
      <family val="2"/>
    </font>
    <font>
      <u/>
      <sz val="10"/>
      <color indexed="12"/>
      <name val="Arial"/>
      <family val="2"/>
    </font>
    <font>
      <sz val="14"/>
      <name val="AngsanaUPC"/>
      <family val="1"/>
    </font>
    <font>
      <u/>
      <sz val="10"/>
      <color indexed="36"/>
      <name val="Arial"/>
      <family val="2"/>
    </font>
    <font>
      <u/>
      <sz val="14"/>
      <color indexed="36"/>
      <name val="Cordia New"/>
      <family val="2"/>
    </font>
    <font>
      <u/>
      <sz val="14"/>
      <color indexed="12"/>
      <name val="Cordia New"/>
      <family val="2"/>
    </font>
    <font>
      <sz val="14"/>
      <name val="Cordia New"/>
      <family val="2"/>
    </font>
    <font>
      <sz val="11"/>
      <name val="??"/>
      <family val="3"/>
    </font>
    <font>
      <sz val="14"/>
      <name val="ＭＳ ??’?"/>
      <family val="1"/>
      <charset val="128"/>
    </font>
    <font>
      <sz val="14"/>
      <name val="lr –?’?"/>
      <family val="1"/>
      <charset val="128"/>
    </font>
    <font>
      <sz val="9"/>
      <name val="明朝"/>
      <family val="1"/>
      <charset val="128"/>
    </font>
    <font>
      <sz val="11"/>
      <name val="lr oSVbN"/>
      <family val="3"/>
      <charset val="128"/>
    </font>
    <font>
      <sz val="14"/>
      <name val="Terminal"/>
      <family val="3"/>
      <charset val="255"/>
    </font>
    <font>
      <sz val="14"/>
      <name val="ＭＳ ・・"/>
      <family val="1"/>
      <charset val="128"/>
    </font>
    <font>
      <sz val="10"/>
      <name val="Courier New"/>
      <family val="3"/>
    </font>
    <font>
      <sz val="11"/>
      <name val="–?’?"/>
      <family val="1"/>
      <charset val="128"/>
    </font>
    <font>
      <u/>
      <sz val="10"/>
      <color indexed="14"/>
      <name val="lr oSVbN"/>
      <family val="3"/>
      <charset val="128"/>
    </font>
    <font>
      <sz val="11"/>
      <name val="•W€SVbN"/>
      <family val="3"/>
      <charset val="128"/>
    </font>
    <font>
      <u/>
      <sz val="10"/>
      <color indexed="12"/>
      <name val="lr oSVbN"/>
      <family val="3"/>
      <charset val="128"/>
    </font>
    <font>
      <sz val="11"/>
      <name val="EE"/>
      <family val="1"/>
      <charset val="128"/>
    </font>
    <font>
      <sz val="11"/>
      <name val="ＤＦ細丸ゴシック体"/>
      <family val="3"/>
      <charset val="128"/>
    </font>
    <font>
      <sz val="12"/>
      <name val="?UAAA?"/>
      <family val="3"/>
    </font>
    <font>
      <sz val="12"/>
      <name val="¹UAAA¼"/>
      <family val="3"/>
      <charset val="255"/>
    </font>
    <font>
      <sz val="9"/>
      <name val="Times New Roman"/>
      <family val="1"/>
    </font>
    <font>
      <sz val="11"/>
      <name val="FA ｺﾞｼｯｸ"/>
      <family val="3"/>
      <charset val="128"/>
    </font>
    <font>
      <u/>
      <sz val="12"/>
      <color indexed="36"/>
      <name val="?? ?????"/>
      <family val="3"/>
      <charset val="128"/>
    </font>
    <font>
      <b/>
      <sz val="18"/>
      <name val="Arial"/>
      <family val="2"/>
    </font>
    <font>
      <u/>
      <sz val="12"/>
      <color indexed="12"/>
      <name val="?? ?????"/>
      <family val="3"/>
      <charset val="128"/>
    </font>
    <font>
      <b/>
      <i/>
      <sz val="11"/>
      <name val="明朝"/>
      <family val="3"/>
      <charset val="128"/>
    </font>
    <font>
      <sz val="10"/>
      <name val="MS Sans Serif"/>
      <family val="2"/>
    </font>
    <font>
      <b/>
      <sz val="10"/>
      <name val="MS Sans Serif"/>
      <family val="2"/>
    </font>
    <font>
      <b/>
      <i/>
      <sz val="11"/>
      <name val="標準ゴシック"/>
      <family val="3"/>
      <charset val="128"/>
    </font>
    <font>
      <sz val="8"/>
      <color indexed="16"/>
      <name val="Century Schoolbook"/>
      <family val="1"/>
    </font>
    <font>
      <b/>
      <i/>
      <sz val="10"/>
      <name val="Times New Roman"/>
      <family val="1"/>
    </font>
    <font>
      <b/>
      <sz val="11"/>
      <name val="Helv"/>
      <family val="2"/>
    </font>
    <font>
      <sz val="24"/>
      <name val="ＭＳ ゴシック"/>
      <family val="3"/>
      <charset val="128"/>
    </font>
    <font>
      <b/>
      <sz val="9"/>
      <name val="Times New Roman"/>
      <family val="1"/>
    </font>
    <font>
      <sz val="12"/>
      <color indexed="24"/>
      <name val="明朝"/>
      <family val="3"/>
      <charset val="128"/>
    </font>
    <font>
      <sz val="12"/>
      <name val="ｹﾙﾅﾁﾃｼ"/>
      <family val="1"/>
      <charset val="128"/>
    </font>
    <font>
      <sz val="11"/>
      <name val="Courier New"/>
      <family val="3"/>
    </font>
    <font>
      <u/>
      <sz val="12"/>
      <color indexed="12"/>
      <name val="ＭＳ Ｐゴシック"/>
      <family val="3"/>
      <charset val="128"/>
    </font>
    <font>
      <sz val="11"/>
      <name val="¾©"/>
      <family val="1"/>
      <charset val="128"/>
    </font>
    <font>
      <sz val="14"/>
      <name val="lr –พ’ฉ"/>
      <family val="1"/>
      <charset val="128"/>
    </font>
    <font>
      <sz val="11"/>
      <color indexed="17"/>
      <name val="ＭＳ ゴシック"/>
      <family val="3"/>
      <charset val="128"/>
    </font>
    <font>
      <sz val="11"/>
      <name val="??’?"/>
      <family val="1"/>
      <charset val="128"/>
    </font>
    <font>
      <sz val="11"/>
      <name val="・・"/>
      <family val="1"/>
      <charset val="128"/>
    </font>
    <font>
      <sz val="11"/>
      <color indexed="20"/>
      <name val="ＭＳ ゴシック"/>
      <family val="3"/>
      <charset val="128"/>
    </font>
    <font>
      <b/>
      <sz val="18"/>
      <color indexed="24"/>
      <name val="ＭＳ 明朝"/>
      <family val="1"/>
      <charset val="128"/>
    </font>
    <font>
      <b/>
      <sz val="15"/>
      <color indexed="24"/>
      <name val="ＭＳ 明朝"/>
      <family val="1"/>
      <charset val="128"/>
    </font>
    <font>
      <sz val="11"/>
      <color indexed="18"/>
      <name val="ＭＳ ゴシック"/>
      <family val="3"/>
      <charset val="128"/>
    </font>
    <font>
      <sz val="11"/>
      <name val="標準ゴシック"/>
      <family val="3"/>
      <charset val="128"/>
    </font>
    <font>
      <sz val="14"/>
      <name val="뼻뮝"/>
      <family val="3"/>
      <charset val="255"/>
    </font>
    <font>
      <u/>
      <sz val="11"/>
      <color indexed="12"/>
      <name val="MS PGothic"/>
      <family val="3"/>
    </font>
    <font>
      <sz val="11"/>
      <name val="ＦＡ ゴシック"/>
      <family val="3"/>
      <charset val="128"/>
    </font>
    <font>
      <sz val="9"/>
      <name val="ＭＳ ゴシック"/>
      <family val="3"/>
      <charset val="128"/>
    </font>
    <font>
      <u/>
      <sz val="12"/>
      <color indexed="36"/>
      <name val="ＭＳ Ｐゴシック"/>
      <family val="3"/>
      <charset val="128"/>
    </font>
    <font>
      <sz val="12"/>
      <name val="뼻뮝"/>
      <family val="3"/>
      <charset val="255"/>
    </font>
    <font>
      <sz val="11"/>
      <name val="Arial"/>
      <family val="2"/>
    </font>
    <font>
      <sz val="12"/>
      <name val="바탕체"/>
      <family val="1"/>
      <charset val="255"/>
    </font>
    <font>
      <sz val="10"/>
      <name val="굴림체"/>
      <family val="3"/>
      <charset val="255"/>
    </font>
    <font>
      <sz val="11"/>
      <name val="??"/>
      <family val="1"/>
    </font>
    <font>
      <u/>
      <sz val="12"/>
      <color indexed="12"/>
      <name val="?? ?????"/>
      <family val="3"/>
    </font>
    <font>
      <u/>
      <sz val="11"/>
      <color indexed="12"/>
      <name val="?? ????"/>
      <family val="3"/>
    </font>
    <font>
      <sz val="14"/>
      <name val="Cordia New"/>
      <family val="2"/>
      <charset val="222"/>
    </font>
    <font>
      <u/>
      <sz val="9.9"/>
      <color indexed="20"/>
      <name val="Arial"/>
      <family val="2"/>
    </font>
    <font>
      <u/>
      <sz val="12"/>
      <color indexed="20"/>
      <name val="?? ?????"/>
      <family val="3"/>
    </font>
    <font>
      <u/>
      <sz val="10"/>
      <color indexed="14"/>
      <name val="?? ?????"/>
      <family val="3"/>
    </font>
    <font>
      <u/>
      <sz val="14"/>
      <color indexed="20"/>
      <name val="Cordia New"/>
      <family val="2"/>
    </font>
    <font>
      <u/>
      <sz val="11"/>
      <color indexed="36"/>
      <name val="?? ????"/>
      <family val="3"/>
    </font>
    <font>
      <u/>
      <sz val="10"/>
      <color indexed="12"/>
      <name val="?? ?????"/>
      <family val="3"/>
    </font>
    <font>
      <b/>
      <sz val="12"/>
      <name val="??????"/>
      <family val="3"/>
    </font>
    <font>
      <sz val="10"/>
      <name val="?? ????"/>
      <family val="3"/>
    </font>
    <font>
      <sz val="14"/>
      <name val="?? ??・"/>
      <family val="1"/>
      <charset val="128"/>
    </font>
    <font>
      <sz val="14"/>
      <name val="lr ??f?"/>
      <family val="1"/>
      <charset val="128"/>
    </font>
    <font>
      <sz val="9"/>
      <name val="?? ????"/>
      <family val="3"/>
    </font>
    <font>
      <u/>
      <sz val="6.6"/>
      <color indexed="20"/>
      <name val="?l?r "/>
      <family val="1"/>
    </font>
    <font>
      <u/>
      <sz val="6.6"/>
      <color indexed="20"/>
      <name val="?l?r "/>
      <family val="1"/>
      <charset val="128"/>
    </font>
    <font>
      <u/>
      <sz val="11"/>
      <color indexed="20"/>
      <name val="?l?r ??f"/>
      <family val="1"/>
      <charset val="128"/>
    </font>
    <font>
      <u/>
      <sz val="11"/>
      <color indexed="20"/>
      <name val="?l?r ??’c"/>
      <family val="1"/>
      <charset val="128"/>
    </font>
    <font>
      <u/>
      <sz val="10.5"/>
      <color indexed="20"/>
      <name val="Cordia New"/>
      <family val="2"/>
    </font>
    <font>
      <sz val="11"/>
      <name val="?? ?????"/>
      <family val="3"/>
    </font>
    <font>
      <sz val="11"/>
      <name val="??・"/>
      <family val="1"/>
      <charset val="128"/>
    </font>
    <font>
      <u/>
      <sz val="14"/>
      <color indexed="12"/>
      <name val="Cordia New"/>
      <family val="2"/>
      <charset val="222"/>
    </font>
    <font>
      <u/>
      <sz val="11"/>
      <color indexed="12"/>
      <name val="?l?r ??f"/>
      <family val="1"/>
      <charset val="128"/>
    </font>
    <font>
      <u/>
      <sz val="11"/>
      <color indexed="12"/>
      <name val="?l?r ??’"/>
      <family val="1"/>
      <charset val="128"/>
    </font>
    <font>
      <sz val="10"/>
      <color indexed="8"/>
      <name val="?? ??・"/>
      <family val="1"/>
      <charset val="128"/>
    </font>
    <font>
      <sz val="11"/>
      <name val="?l?r "/>
      <family val="1"/>
      <charset val="128"/>
    </font>
    <font>
      <sz val="11"/>
      <name val="??f?"/>
      <family val="1"/>
      <charset val="128"/>
    </font>
    <font>
      <sz val="10"/>
      <name val="Geneva"/>
      <family val="2"/>
    </font>
    <font>
      <sz val="10"/>
      <name val="Times New Roman"/>
      <family val="1"/>
    </font>
    <font>
      <u/>
      <sz val="14"/>
      <color indexed="20"/>
      <name val="Cordia New"/>
      <family val="2"/>
      <charset val="222"/>
    </font>
    <font>
      <u/>
      <sz val="11"/>
      <color indexed="36"/>
      <name val="lr oSVbN"/>
      <family val="3"/>
      <charset val="128"/>
    </font>
    <font>
      <u/>
      <sz val="6.6"/>
      <color indexed="20"/>
      <name val="‚l‚r "/>
      <family val="1"/>
      <charset val="128"/>
    </font>
    <font>
      <u/>
      <sz val="10.5"/>
      <color indexed="20"/>
      <name val="Cordia New"/>
      <family val="2"/>
      <charset val="222"/>
    </font>
    <font>
      <sz val="11"/>
      <name val="lr SVbN"/>
      <family val="3"/>
      <charset val="128"/>
    </font>
    <font>
      <u/>
      <sz val="6.6"/>
      <color indexed="20"/>
      <name val="lr "/>
      <family val="1"/>
      <charset val="128"/>
    </font>
    <font>
      <b/>
      <sz val="12"/>
      <name val="WSVbN"/>
      <family val="3"/>
      <charset val="128"/>
    </font>
    <font>
      <sz val="11"/>
      <name val="–พ’ฉ"/>
      <family val="1"/>
      <charset val="128"/>
    </font>
    <font>
      <u/>
      <sz val="11"/>
      <color indexed="12"/>
      <name val="lr oSVbN"/>
      <family val="3"/>
      <charset val="128"/>
    </font>
    <font>
      <u/>
      <sz val="10.5"/>
      <color indexed="12"/>
      <name val="Cordia New"/>
      <family val="2"/>
    </font>
    <font>
      <sz val="11"/>
      <name val="lr "/>
      <family val="1"/>
      <charset val="128"/>
    </font>
    <font>
      <sz val="9"/>
      <name val="lr SVbN"/>
      <family val="3"/>
      <charset val="128"/>
    </font>
    <font>
      <sz val="11"/>
      <name val="標準明朝"/>
      <family val="1"/>
      <charset val="128"/>
    </font>
    <font>
      <sz val="12"/>
      <name val="ＭＳ 明朝"/>
      <family val="1"/>
      <charset val="204"/>
    </font>
    <font>
      <b/>
      <sz val="9"/>
      <name val="明朝"/>
      <family val="1"/>
      <charset val="128"/>
    </font>
    <font>
      <sz val="11"/>
      <color indexed="8"/>
      <name val="Calibri"/>
      <family val="2"/>
    </font>
    <font>
      <sz val="11"/>
      <color indexed="9"/>
      <name val="Calibri"/>
      <family val="2"/>
    </font>
    <font>
      <sz val="11"/>
      <color indexed="9"/>
      <name val="ＭＳ Ｐゴシック"/>
      <family val="3"/>
      <charset val="128"/>
    </font>
    <font>
      <sz val="12"/>
      <name val="?UAAA?"/>
      <family val="3"/>
      <charset val="255"/>
    </font>
    <font>
      <sz val="11"/>
      <color indexed="20"/>
      <name val="Calibri"/>
      <family val="2"/>
    </font>
    <font>
      <sz val="11"/>
      <name val="ＭＳ Ｐ明朝"/>
      <family val="1"/>
      <charset val="128"/>
    </font>
    <font>
      <sz val="12"/>
      <name val="1UAAA?"/>
      <family val="3"/>
    </font>
    <font>
      <b/>
      <sz val="11"/>
      <color indexed="10"/>
      <name val="Calibri"/>
      <family val="2"/>
    </font>
    <font>
      <b/>
      <sz val="11"/>
      <color indexed="9"/>
      <name val="Calibri"/>
      <family val="2"/>
    </font>
    <font>
      <b/>
      <sz val="11"/>
      <name val="明朝"/>
      <family val="3"/>
      <charset val="128"/>
    </font>
    <font>
      <b/>
      <sz val="12"/>
      <name val="Helv"/>
      <family val="2"/>
    </font>
    <font>
      <sz val="12"/>
      <name val="Times New Roman"/>
      <family val="1"/>
    </font>
    <font>
      <i/>
      <sz val="11"/>
      <color indexed="23"/>
      <name val="Calibri"/>
      <family val="2"/>
    </font>
    <font>
      <u/>
      <sz val="10.5"/>
      <color indexed="12"/>
      <name val="Cordia New"/>
      <family val="2"/>
      <charset val="222"/>
    </font>
    <font>
      <sz val="11"/>
      <color indexed="17"/>
      <name val="Calibri"/>
      <family val="2"/>
    </font>
    <font>
      <b/>
      <sz val="11"/>
      <name val="Arial"/>
      <family val="2"/>
    </font>
    <font>
      <b/>
      <sz val="11"/>
      <name val="MS UI Gothic"/>
      <family val="3"/>
      <charset val="128"/>
    </font>
    <font>
      <b/>
      <sz val="11"/>
      <color indexed="62"/>
      <name val="Calibri"/>
      <family val="2"/>
    </font>
    <font>
      <sz val="11"/>
      <color indexed="62"/>
      <name val="Calibri"/>
      <family val="2"/>
    </font>
    <font>
      <sz val="11"/>
      <color indexed="10"/>
      <name val="Calibri"/>
      <family val="2"/>
    </font>
    <font>
      <b/>
      <sz val="16"/>
      <name val="Times New Roman"/>
      <family val="1"/>
    </font>
    <font>
      <sz val="11"/>
      <color indexed="19"/>
      <name val="Calibri"/>
      <family val="2"/>
    </font>
    <font>
      <sz val="7"/>
      <name val="Small Fonts"/>
      <family val="2"/>
    </font>
    <font>
      <sz val="12"/>
      <name val="標準明朝"/>
      <family val="1"/>
      <charset val="128"/>
    </font>
    <font>
      <sz val="12"/>
      <name val="ＭＳ 明朝"/>
      <family val="1"/>
      <charset val="128"/>
    </font>
    <font>
      <b/>
      <sz val="11"/>
      <color indexed="63"/>
      <name val="Calibri"/>
      <family val="2"/>
    </font>
    <font>
      <b/>
      <i/>
      <sz val="11"/>
      <name val="WSVbN"/>
      <family val="3"/>
      <charset val="128"/>
    </font>
    <font>
      <i/>
      <sz val="10"/>
      <name val="MS UI Gothic"/>
      <family val="3"/>
      <charset val="128"/>
    </font>
    <font>
      <sz val="10"/>
      <color indexed="8"/>
      <name val="ＭＳ ゴシック"/>
      <family val="3"/>
      <charset val="128"/>
    </font>
    <font>
      <u/>
      <sz val="11"/>
      <color indexed="36"/>
      <name val="_x0001_-?3?"/>
      <family val="1"/>
    </font>
    <font>
      <sz val="11"/>
      <color indexed="8"/>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u/>
      <sz val="11"/>
      <color indexed="12"/>
      <name val="ＭＳ Ｐゴシック"/>
      <family val="3"/>
      <charset val="128"/>
    </font>
    <font>
      <u/>
      <sz val="10"/>
      <color indexed="12"/>
      <name val="ＭＳ ゴシック"/>
      <family val="3"/>
      <charset val="128"/>
    </font>
    <font>
      <u/>
      <sz val="8.25"/>
      <color indexed="12"/>
      <name val="ＭＳ ゴシック"/>
      <family val="3"/>
      <charset val="128"/>
    </font>
    <font>
      <u/>
      <sz val="12"/>
      <color theme="10"/>
      <name val="ＭＳ Ｐゴシック"/>
      <family val="3"/>
      <charset val="128"/>
    </font>
    <font>
      <u/>
      <sz val="11"/>
      <color theme="10"/>
      <name val="明朝"/>
      <family val="1"/>
      <charset val="128"/>
    </font>
    <font>
      <sz val="11"/>
      <color indexed="52"/>
      <name val="ＭＳ Ｐゴシック"/>
      <family val="3"/>
      <charset val="128"/>
    </font>
    <font>
      <sz val="14"/>
      <name val="AngsanaUPC"/>
      <family val="1"/>
      <charset val="222"/>
    </font>
    <font>
      <u/>
      <sz val="10"/>
      <color indexed="20"/>
      <name val="Arial"/>
      <family val="2"/>
    </font>
    <font>
      <sz val="11"/>
      <name val=" "/>
      <family val="3"/>
      <charset val="128"/>
    </font>
    <font>
      <sz val="11"/>
      <color indexed="20"/>
      <name val="ＭＳ Ｐゴシック"/>
      <family val="3"/>
      <charset val="128"/>
    </font>
    <font>
      <sz val="12"/>
      <color indexed="24"/>
      <name val="ＭＳ 明朝"/>
      <family val="1"/>
      <charset val="128"/>
    </font>
    <font>
      <i/>
      <sz val="11"/>
      <color indexed="23"/>
      <name val="ＭＳ Ｐゴシック"/>
      <family val="3"/>
      <charset val="128"/>
    </font>
    <font>
      <b/>
      <sz val="11"/>
      <color indexed="52"/>
      <name val="ＭＳ Ｐゴシック"/>
      <family val="3"/>
      <charset val="128"/>
    </font>
    <font>
      <sz val="11"/>
      <color indexed="10"/>
      <name val="ＭＳ Ｐゴシック"/>
      <family val="3"/>
      <charset val="128"/>
    </font>
    <font>
      <sz val="14"/>
      <name val="明朝"/>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i/>
      <sz val="11"/>
      <name val="明朝"/>
      <family val="1"/>
      <charset val="128"/>
    </font>
    <font>
      <u/>
      <sz val="11"/>
      <color indexed="36"/>
      <name val="MS PGothic"/>
      <family val="3"/>
    </font>
    <font>
      <sz val="11"/>
      <color indexed="17"/>
      <name val="宋体"/>
      <family val="3"/>
      <charset val="128"/>
    </font>
    <font>
      <sz val="11"/>
      <color indexed="20"/>
      <name val="宋体"/>
      <family val="4"/>
      <charset val="255"/>
    </font>
    <font>
      <b/>
      <sz val="11"/>
      <color indexed="8"/>
      <name val="ＭＳ Ｐゴシック"/>
      <family val="3"/>
      <charset val="128"/>
    </font>
    <font>
      <b/>
      <sz val="11"/>
      <color indexed="63"/>
      <name val="ＭＳ Ｐゴシック"/>
      <family val="3"/>
      <charset val="128"/>
    </font>
    <font>
      <sz val="10"/>
      <name val="ＭＳ Ｐゴシック"/>
      <family val="3"/>
      <charset val="128"/>
    </font>
    <font>
      <sz val="10"/>
      <name val="MS UI Gothic"/>
      <family val="3"/>
      <charset val="128"/>
    </font>
    <font>
      <u/>
      <sz val="12"/>
      <color indexed="20"/>
      <name val="ＭＳ Ｐゴシック"/>
      <family val="3"/>
      <charset val="128"/>
    </font>
    <font>
      <u/>
      <sz val="10.5"/>
      <color indexed="36"/>
      <name val="Cordia New"/>
      <family val="2"/>
    </font>
    <font>
      <b/>
      <sz val="18"/>
      <color indexed="56"/>
      <name val="宋体"/>
      <family val="4"/>
      <charset val="255"/>
    </font>
    <font>
      <sz val="10"/>
      <name val="宋体"/>
      <family val="4"/>
      <charset val="255"/>
    </font>
    <font>
      <sz val="12"/>
      <name val="MS UI Gothic"/>
      <family val="3"/>
      <charset val="128"/>
    </font>
    <font>
      <sz val="12"/>
      <name val="MS UI Gothic"/>
      <family val="3"/>
    </font>
    <font>
      <sz val="16"/>
      <name val="AngsanaUPC"/>
      <family val="1"/>
    </font>
    <font>
      <sz val="10"/>
      <name val="MS UI Gothic"/>
      <family val="3"/>
    </font>
    <font>
      <u/>
      <sz val="11"/>
      <color indexed="36"/>
      <name val="ＭＳ Ｐゴシック"/>
      <family val="3"/>
      <charset val="128"/>
    </font>
    <font>
      <sz val="11"/>
      <name val="??’?"/>
      <family val="3"/>
      <charset val="128"/>
    </font>
    <font>
      <sz val="11"/>
      <color indexed="8"/>
      <name val="俵俽 俹僑僔僢僋"/>
      <family val="2"/>
    </font>
    <font>
      <sz val="11"/>
      <color theme="1"/>
      <name val="Calibri"/>
      <family val="2"/>
    </font>
    <font>
      <sz val="11"/>
      <color theme="0"/>
      <name val="Calibri"/>
      <family val="2"/>
    </font>
    <font>
      <b/>
      <sz val="18"/>
      <color theme="3"/>
      <name val="Cambria"/>
      <family val="1"/>
    </font>
    <font>
      <b/>
      <sz val="11"/>
      <color theme="0"/>
      <name val="Calibri"/>
      <family val="2"/>
    </font>
    <font>
      <sz val="11"/>
      <color rgb="FF9C6500"/>
      <name val="Calibri"/>
      <family val="2"/>
    </font>
    <font>
      <sz val="11"/>
      <color rgb="FFFA7D00"/>
      <name val="Calibri"/>
      <family val="2"/>
    </font>
    <font>
      <sz val="11"/>
      <color rgb="FF9C0006"/>
      <name val="Calibri"/>
      <family val="2"/>
    </font>
    <font>
      <b/>
      <sz val="11"/>
      <color rgb="FFFA7D00"/>
      <name val="Calibri"/>
      <family val="2"/>
    </font>
    <font>
      <sz val="11"/>
      <color rgb="FFFF0000"/>
      <name val="Calibri"/>
      <family val="2"/>
    </font>
    <font>
      <b/>
      <sz val="15"/>
      <color theme="3"/>
      <name val="Calibri"/>
      <family val="2"/>
    </font>
    <font>
      <b/>
      <sz val="13"/>
      <color theme="3"/>
      <name val="Calibri"/>
      <family val="2"/>
    </font>
    <font>
      <b/>
      <sz val="11"/>
      <color theme="3"/>
      <name val="Calibri"/>
      <family val="2"/>
    </font>
    <font>
      <b/>
      <sz val="11"/>
      <color theme="1"/>
      <name val="Calibri"/>
      <family val="2"/>
    </font>
    <font>
      <b/>
      <sz val="11"/>
      <color rgb="FF3F3F3F"/>
      <name val="Calibri"/>
      <family val="2"/>
    </font>
    <font>
      <i/>
      <sz val="11"/>
      <color rgb="FF7F7F7F"/>
      <name val="Calibri"/>
      <family val="2"/>
    </font>
    <font>
      <sz val="11"/>
      <color rgb="FF3F3F76"/>
      <name val="Calibri"/>
      <family val="2"/>
    </font>
    <font>
      <sz val="11"/>
      <color rgb="FF006100"/>
      <name val="Calibri"/>
      <family val="2"/>
    </font>
    <font>
      <sz val="11"/>
      <color theme="1"/>
      <name val="Calibri"/>
      <family val="2"/>
      <scheme val="minor"/>
    </font>
    <font>
      <sz val="10"/>
      <name val="ｺﾞｼｯｸ"/>
      <family val="3"/>
      <charset val="128"/>
    </font>
    <font>
      <sz val="11"/>
      <name val="明朝"/>
      <family val="3"/>
    </font>
    <font>
      <sz val="11"/>
      <name val="L リュウミン L-KL"/>
      <family val="3"/>
      <charset val="128"/>
    </font>
    <font>
      <sz val="11"/>
      <color indexed="8"/>
      <name val="宋体"/>
      <family val="4"/>
      <charset val="255"/>
    </font>
    <font>
      <sz val="11"/>
      <color indexed="9"/>
      <name val="宋体"/>
      <family val="4"/>
      <charset val="255"/>
    </font>
    <font>
      <sz val="9"/>
      <color indexed="27"/>
      <name val="明朝"/>
      <family val="1"/>
      <charset val="128"/>
    </font>
    <font>
      <sz val="11"/>
      <color indexed="10"/>
      <name val="明朝"/>
      <family val="3"/>
      <charset val="128"/>
    </font>
    <font>
      <u/>
      <sz val="14"/>
      <color indexed="36"/>
      <name val="AngsanaUPC"/>
      <family val="1"/>
      <charset val="222"/>
    </font>
    <font>
      <u/>
      <sz val="11"/>
      <color theme="10"/>
      <name val="Calibri"/>
      <family val="2"/>
      <scheme val="minor"/>
    </font>
    <font>
      <i/>
      <sz val="11"/>
      <color indexed="23"/>
      <name val="宋体"/>
      <family val="4"/>
      <charset val="255"/>
    </font>
    <font>
      <sz val="12"/>
      <name val="ｺﾞｼｯｸ"/>
      <family val="3"/>
      <charset val="128"/>
    </font>
    <font>
      <sz val="11"/>
      <color indexed="10"/>
      <name val="宋体"/>
      <family val="4"/>
      <charset val="255"/>
    </font>
    <font>
      <sz val="11"/>
      <color indexed="17"/>
      <name val="宋体"/>
      <family val="4"/>
      <charset val="255"/>
    </font>
    <font>
      <sz val="11"/>
      <name val="ＭＳ Ｐゴシック"/>
      <family val="3"/>
    </font>
    <font>
      <sz val="12"/>
      <name val="黑体"/>
      <family val="3"/>
    </font>
    <font>
      <b/>
      <sz val="12"/>
      <name val="楷体_GB2312"/>
      <family val="3"/>
      <charset val="134"/>
    </font>
    <font>
      <u/>
      <sz val="12"/>
      <color indexed="12"/>
      <name val="宋体"/>
      <family val="4"/>
      <charset val="255"/>
    </font>
    <font>
      <u/>
      <sz val="11"/>
      <color indexed="12"/>
      <name val="ＭＳ ゴシック"/>
      <family val="3"/>
      <charset val="128"/>
    </font>
    <font>
      <sz val="8"/>
      <name val="Times New Roman"/>
      <family val="1"/>
    </font>
    <font>
      <u/>
      <sz val="14"/>
      <color indexed="12"/>
      <name val="AngsanaUPC"/>
      <family val="1"/>
      <charset val="222"/>
    </font>
    <font>
      <sz val="14"/>
      <name val="柧挬"/>
      <family val="2"/>
    </font>
    <font>
      <b/>
      <sz val="15"/>
      <color indexed="56"/>
      <name val="宋体"/>
      <family val="4"/>
      <charset val="255"/>
    </font>
    <font>
      <b/>
      <sz val="13"/>
      <color indexed="56"/>
      <name val="宋体"/>
      <family val="4"/>
      <charset val="255"/>
    </font>
    <font>
      <b/>
      <sz val="11"/>
      <color indexed="56"/>
      <name val="宋体"/>
      <family val="4"/>
      <charset val="255"/>
    </font>
    <font>
      <b/>
      <sz val="11"/>
      <color indexed="9"/>
      <name val="宋体"/>
      <family val="4"/>
      <charset val="255"/>
    </font>
    <font>
      <b/>
      <sz val="11"/>
      <color indexed="8"/>
      <name val="宋体"/>
      <family val="4"/>
      <charset val="255"/>
    </font>
    <font>
      <b/>
      <sz val="11"/>
      <color indexed="52"/>
      <name val="宋体"/>
      <family val="4"/>
      <charset val="255"/>
    </font>
    <font>
      <b/>
      <sz val="11"/>
      <color indexed="63"/>
      <name val="宋体"/>
      <family val="4"/>
      <charset val="255"/>
    </font>
    <font>
      <sz val="11"/>
      <color indexed="62"/>
      <name val="宋体"/>
      <family val="4"/>
      <charset val="255"/>
    </font>
    <font>
      <sz val="11"/>
      <color indexed="60"/>
      <name val="宋体"/>
      <family val="4"/>
      <charset val="255"/>
    </font>
    <font>
      <sz val="11"/>
      <color indexed="52"/>
      <name val="宋体"/>
      <family val="4"/>
      <charset val="255"/>
    </font>
    <font>
      <sz val="12"/>
      <name val="MS UI Gothic"/>
      <family val="2"/>
      <charset val="128"/>
    </font>
    <font>
      <sz val="11"/>
      <name val="Calibri"/>
      <family val="2"/>
    </font>
    <font>
      <b/>
      <sz val="14"/>
      <color theme="1"/>
      <name val="Meiryo UI"/>
      <family val="3"/>
      <charset val="128"/>
    </font>
    <font>
      <b/>
      <sz val="11"/>
      <color theme="1"/>
      <name val="Meiryo UI"/>
      <family val="3"/>
      <charset val="128"/>
    </font>
    <font>
      <b/>
      <sz val="12"/>
      <color theme="1"/>
      <name val="Meiryo UI"/>
      <family val="3"/>
      <charset val="128"/>
    </font>
    <font>
      <sz val="6"/>
      <name val="Meiryo UI"/>
      <family val="2"/>
      <charset val="128"/>
    </font>
    <font>
      <sz val="12"/>
      <name val="Meiryo UI"/>
      <family val="3"/>
      <charset val="128"/>
    </font>
    <font>
      <sz val="10"/>
      <name val="Meiryo UI"/>
      <family val="3"/>
      <charset val="128"/>
    </font>
    <font>
      <sz val="11"/>
      <color rgb="FFFF0000"/>
      <name val="Meiryo UI"/>
      <family val="3"/>
      <charset val="128"/>
    </font>
    <font>
      <sz val="12"/>
      <color theme="1"/>
      <name val="Calibri"/>
      <family val="2"/>
    </font>
    <font>
      <b/>
      <sz val="11"/>
      <color rgb="FFFF0000"/>
      <name val="Meiryo UI"/>
      <family val="3"/>
      <charset val="128"/>
    </font>
    <font>
      <sz val="12"/>
      <color rgb="FF0F1115"/>
      <name val="Segoe UI"/>
      <family val="2"/>
    </font>
    <font>
      <sz val="12"/>
      <color rgb="FF0F1115"/>
      <name val="ＭＳ Ｐゴシック"/>
      <family val="3"/>
      <charset val="128"/>
    </font>
    <font>
      <sz val="12"/>
      <color rgb="FFFF0000"/>
      <name val="Segoe UI"/>
      <family val="2"/>
    </font>
  </fonts>
  <fills count="73">
    <fill>
      <patternFill patternType="none"/>
    </fill>
    <fill>
      <patternFill patternType="gray125"/>
    </fill>
    <fill>
      <patternFill patternType="solid">
        <fgColor indexed="10"/>
        <bgColor indexed="64"/>
      </patternFill>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gray0625">
        <bgColor indexed="9"/>
      </patternFill>
    </fill>
    <fill>
      <patternFill patternType="solid">
        <fgColor indexed="9"/>
      </patternFill>
    </fill>
    <fill>
      <patternFill patternType="solid">
        <fgColor indexed="41"/>
        <bgColor indexed="64"/>
      </patternFill>
    </fill>
    <fill>
      <patternFill patternType="solid">
        <fgColor indexed="43"/>
        <bgColor indexed="64"/>
      </patternFill>
    </fill>
    <fill>
      <patternFill patternType="solid">
        <fgColor indexed="42"/>
        <bgColor indexed="27"/>
      </patternFill>
    </fill>
    <fill>
      <patternFill patternType="solid">
        <fgColor indexed="41"/>
        <b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27"/>
        <bgColor indexed="42"/>
      </patternFill>
    </fill>
    <fill>
      <patternFill patternType="solid">
        <fgColor indexed="55"/>
      </patternFill>
    </fill>
    <fill>
      <patternFill patternType="mediumGray">
        <fgColor indexed="22"/>
      </patternFill>
    </fill>
    <fill>
      <patternFill patternType="solid">
        <fgColor indexed="62"/>
      </patternFill>
    </fill>
    <fill>
      <patternFill patternType="solid">
        <fgColor indexed="57"/>
      </patternFill>
    </fill>
    <fill>
      <patternFill patternType="solid">
        <fgColor indexed="47"/>
        <bgColor indexed="22"/>
      </patternFill>
    </fill>
    <fill>
      <patternFill patternType="solid">
        <fgColor indexed="47"/>
        <bgColor indexed="64"/>
      </patternFill>
    </fill>
    <fill>
      <patternFill patternType="solid">
        <fgColor indexed="22"/>
      </patternFill>
    </fill>
    <fill>
      <patternFill patternType="mediumGray">
        <fgColor indexed="8"/>
        <bgColor indexed="37"/>
      </patternFill>
    </fill>
  </fills>
  <borders count="8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rgb="FF000000"/>
      </bottom>
      <diagonal/>
    </border>
    <border>
      <left style="thin">
        <color indexed="64"/>
      </left>
      <right style="hair">
        <color indexed="64"/>
      </right>
      <top/>
      <bottom style="hair">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hair">
        <color indexed="64"/>
      </right>
      <top style="hair">
        <color indexed="64"/>
      </top>
      <bottom style="hair">
        <color indexed="64"/>
      </bottom>
      <diagonal/>
    </border>
    <border>
      <left style="medium">
        <color indexed="8"/>
      </left>
      <right/>
      <top style="medium">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right/>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8"/>
      </left>
      <right style="hair">
        <color indexed="8"/>
      </right>
      <top/>
      <bottom/>
      <diagonal/>
    </border>
    <border>
      <left style="hair">
        <color indexed="64"/>
      </left>
      <right style="hair">
        <color indexed="64"/>
      </right>
      <top style="hair">
        <color indexed="64"/>
      </top>
      <bottom style="hair">
        <color indexed="64"/>
      </bottom>
      <diagonal/>
    </border>
    <border>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651">
    <xf numFmtId="0" fontId="0" fillId="0" borderId="0">
      <alignment vertical="center"/>
    </xf>
    <xf numFmtId="0" fontId="11" fillId="0" borderId="0"/>
    <xf numFmtId="0" fontId="17" fillId="0" borderId="0"/>
    <xf numFmtId="0" fontId="18" fillId="0" borderId="0"/>
    <xf numFmtId="0" fontId="18" fillId="0" borderId="0"/>
    <xf numFmtId="0" fontId="18" fillId="0" borderId="0"/>
    <xf numFmtId="0" fontId="19" fillId="2" borderId="0"/>
    <xf numFmtId="49" fontId="12" fillId="0" borderId="41">
      <alignment horizontal="left" vertical="center"/>
    </xf>
    <xf numFmtId="172" fontId="20" fillId="0" borderId="0" applyFill="0" applyBorder="0" applyAlignment="0"/>
    <xf numFmtId="38" fontId="21" fillId="0" borderId="0" applyFont="0" applyFill="0" applyBorder="0" applyAlignment="0" applyProtection="0"/>
    <xf numFmtId="171" fontId="21" fillId="0" borderId="0" applyFont="0" applyFill="0" applyBorder="0" applyAlignment="0" applyProtection="0"/>
    <xf numFmtId="38" fontId="23" fillId="3" borderId="0" applyNumberFormat="0" applyBorder="0" applyAlignment="0" applyProtection="0"/>
    <xf numFmtId="0" fontId="24" fillId="0" borderId="42" applyNumberFormat="0" applyAlignment="0" applyProtection="0">
      <alignment horizontal="left" vertical="center"/>
    </xf>
    <xf numFmtId="0" fontId="24" fillId="0" borderId="8">
      <alignment horizontal="left" vertical="center"/>
    </xf>
    <xf numFmtId="10" fontId="23" fillId="4" borderId="2" applyNumberFormat="0" applyBorder="0" applyAlignment="0" applyProtection="0"/>
    <xf numFmtId="173" fontId="25" fillId="0" borderId="0"/>
    <xf numFmtId="10" fontId="16" fillId="0" borderId="0" applyFont="0" applyFill="0" applyBorder="0" applyAlignment="0" applyProtection="0"/>
    <xf numFmtId="0" fontId="16" fillId="0" borderId="0"/>
    <xf numFmtId="170" fontId="25" fillId="0" borderId="0" applyFon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0" fontId="13" fillId="0" borderId="0"/>
    <xf numFmtId="0" fontId="32" fillId="0" borderId="0"/>
    <xf numFmtId="0" fontId="14" fillId="0" borderId="0"/>
    <xf numFmtId="0" fontId="10" fillId="0" borderId="0"/>
    <xf numFmtId="0" fontId="10" fillId="0" borderId="0">
      <alignment vertical="center"/>
    </xf>
    <xf numFmtId="0" fontId="30" fillId="0" borderId="0" applyNumberFormat="0" applyFill="0" applyBorder="0" applyAlignment="0" applyProtection="0">
      <alignment vertical="top"/>
      <protection locked="0"/>
    </xf>
    <xf numFmtId="0" fontId="13" fillId="0" borderId="0"/>
    <xf numFmtId="0" fontId="13" fillId="0" borderId="0"/>
    <xf numFmtId="0" fontId="32" fillId="0" borderId="0"/>
    <xf numFmtId="0" fontId="14" fillId="0" borderId="0"/>
    <xf numFmtId="0" fontId="33" fillId="0" borderId="0" applyNumberFormat="0" applyFill="0" applyBorder="0" applyAlignment="0" applyProtection="0"/>
    <xf numFmtId="0" fontId="33" fillId="0" borderId="0" applyNumberFormat="0" applyFill="0" applyBorder="0" applyAlignment="0" applyProtection="0"/>
    <xf numFmtId="0" fontId="27" fillId="0" borderId="0"/>
    <xf numFmtId="0" fontId="17" fillId="0" borderId="0" applyFont="0" applyBorder="0" applyAlignment="0"/>
    <xf numFmtId="38" fontId="11" fillId="0" borderId="0" applyFont="0" applyFill="0" applyBorder="0" applyAlignment="0" applyProtection="0"/>
    <xf numFmtId="0" fontId="28" fillId="0" borderId="0">
      <alignment vertical="center"/>
    </xf>
    <xf numFmtId="1" fontId="31" fillId="0" borderId="0"/>
    <xf numFmtId="0" fontId="26" fillId="0" borderId="0">
      <alignment vertical="center"/>
    </xf>
    <xf numFmtId="0" fontId="14" fillId="0" borderId="0"/>
    <xf numFmtId="0" fontId="14" fillId="0" borderId="0"/>
    <xf numFmtId="0" fontId="37" fillId="0" borderId="0">
      <alignment vertical="center"/>
    </xf>
    <xf numFmtId="38" fontId="37" fillId="0" borderId="0" applyFont="0" applyFill="0" applyBorder="0" applyAlignment="0" applyProtection="0">
      <alignment vertical="center"/>
    </xf>
    <xf numFmtId="0" fontId="17" fillId="0" borderId="0"/>
    <xf numFmtId="38" fontId="13" fillId="0" borderId="0" applyFont="0" applyFill="0" applyBorder="0" applyAlignment="0" applyProtection="0"/>
    <xf numFmtId="0" fontId="17" fillId="0" borderId="0"/>
    <xf numFmtId="0" fontId="13" fillId="0" borderId="0"/>
    <xf numFmtId="38" fontId="44"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alignment vertical="center"/>
    </xf>
    <xf numFmtId="0" fontId="13" fillId="0" borderId="0">
      <alignment vertical="center"/>
    </xf>
    <xf numFmtId="176" fontId="45" fillId="0" borderId="52"/>
    <xf numFmtId="0" fontId="25" fillId="0" borderId="0"/>
    <xf numFmtId="165" fontId="46" fillId="0" borderId="0" applyFon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0" borderId="0"/>
    <xf numFmtId="10" fontId="16" fillId="0" borderId="0" applyFont="0" applyFill="0" applyBorder="0" applyAlignment="0" applyProtection="0"/>
    <xf numFmtId="164" fontId="56" fillId="0" borderId="0" applyFont="0" applyFill="0" applyBorder="0" applyAlignment="0" applyProtection="0"/>
    <xf numFmtId="0" fontId="57" fillId="0" borderId="0"/>
    <xf numFmtId="0" fontId="58" fillId="0" borderId="0"/>
    <xf numFmtId="0" fontId="53" fillId="0" borderId="0" applyNumberFormat="0" applyFill="0" applyBorder="0" applyAlignment="0" applyProtection="0">
      <alignment vertical="top"/>
      <protection locked="0"/>
    </xf>
    <xf numFmtId="0" fontId="59" fillId="0" borderId="0"/>
    <xf numFmtId="165" fontId="11" fillId="0" borderId="0" applyFont="0" applyFill="0" applyBorder="0" applyAlignment="0" applyProtection="0"/>
    <xf numFmtId="164" fontId="11" fillId="0" borderId="0" applyFont="0" applyFill="0" applyBorder="0" applyAlignment="0" applyProtection="0"/>
    <xf numFmtId="165" fontId="60" fillId="0" borderId="0" applyFont="0" applyFill="0" applyBorder="0" applyAlignment="0" applyProtection="0"/>
    <xf numFmtId="164" fontId="60" fillId="0" borderId="0" applyFont="0" applyFill="0" applyBorder="0" applyAlignment="0" applyProtection="0"/>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0"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0" fontId="61" fillId="0" borderId="0"/>
    <xf numFmtId="178" fontId="55" fillId="0" borderId="0" applyFont="0" applyFill="0" applyBorder="0" applyAlignment="0" applyProtection="0"/>
    <xf numFmtId="164" fontId="17" fillId="0" borderId="0" applyFont="0" applyFill="0" applyBorder="0" applyAlignment="0" applyProtection="0"/>
    <xf numFmtId="0" fontId="19" fillId="38" borderId="0" applyNumberFormat="0" applyFont="0" applyBorder="0" applyAlignment="0" applyProtection="0">
      <alignment horizontal="center"/>
      <protection locked="0"/>
    </xf>
    <xf numFmtId="0" fontId="62" fillId="0" borderId="0"/>
    <xf numFmtId="0" fontId="64" fillId="0" borderId="0"/>
    <xf numFmtId="0" fontId="65" fillId="0" borderId="0" applyNumberFormat="0" applyFill="0" applyBorder="0" applyAlignment="0" applyProtection="0"/>
    <xf numFmtId="41" fontId="64" fillId="0" borderId="0" applyFont="0" applyFill="0" applyBorder="0" applyAlignment="0" applyProtection="0"/>
    <xf numFmtId="38" fontId="66" fillId="0" borderId="0" applyFont="0" applyFill="0" applyBorder="0" applyAlignment="0" applyProtection="0"/>
    <xf numFmtId="0" fontId="67" fillId="0" borderId="0" applyNumberFormat="0" applyFill="0" applyBorder="0" applyAlignment="0" applyProtection="0"/>
    <xf numFmtId="0" fontId="68" fillId="0" borderId="0"/>
    <xf numFmtId="0" fontId="11" fillId="0" borderId="0"/>
    <xf numFmtId="0" fontId="69" fillId="0" borderId="0">
      <alignment vertical="center"/>
    </xf>
    <xf numFmtId="0" fontId="16" fillId="0" borderId="0" applyNumberFormat="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23" fillId="0" borderId="0" applyNumberFormat="0" applyAlignment="0"/>
    <xf numFmtId="0" fontId="71"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25" fillId="0" borderId="0"/>
    <xf numFmtId="0" fontId="25" fillId="0" borderId="0"/>
    <xf numFmtId="0" fontId="71" fillId="0" borderId="0"/>
    <xf numFmtId="0" fontId="70" fillId="0" borderId="0"/>
    <xf numFmtId="0" fontId="71" fillId="0" borderId="0"/>
    <xf numFmtId="0" fontId="70" fillId="0" borderId="0"/>
    <xf numFmtId="0" fontId="20" fillId="0" borderId="0" applyFill="0" applyBorder="0" applyAlignment="0"/>
    <xf numFmtId="175" fontId="13" fillId="0" borderId="0" applyFont="0" applyFill="0" applyBorder="0" applyAlignment="0" applyProtection="0"/>
    <xf numFmtId="0" fontId="17" fillId="0" borderId="0" applyFont="0" applyFill="0" applyBorder="0" applyAlignment="0" applyProtection="0"/>
    <xf numFmtId="3" fontId="16" fillId="0" borderId="0" applyFont="0" applyFill="0" applyBorder="0" applyAlignment="0" applyProtection="0"/>
    <xf numFmtId="0" fontId="21" fillId="0" borderId="0" applyFont="0" applyFill="0" applyBorder="0" applyAlignment="0" applyProtection="0"/>
    <xf numFmtId="183" fontId="16" fillId="0" borderId="0" applyFont="0" applyFill="0" applyBorder="0" applyAlignment="0" applyProtection="0"/>
    <xf numFmtId="0" fontId="16" fillId="0" borderId="0" applyFont="0" applyFill="0" applyBorder="0" applyAlignment="0" applyProtection="0"/>
    <xf numFmtId="0" fontId="72" fillId="0" borderId="0">
      <alignment horizontal="left"/>
    </xf>
    <xf numFmtId="0" fontId="73" fillId="0" borderId="0">
      <alignment vertical="center"/>
    </xf>
    <xf numFmtId="2" fontId="16" fillId="0" borderId="0" applyFont="0" applyFill="0" applyBorder="0" applyAlignment="0" applyProtection="0"/>
    <xf numFmtId="0" fontId="74" fillId="0" borderId="0" applyNumberFormat="0" applyFill="0" applyBorder="0" applyAlignment="0" applyProtection="0">
      <alignment vertical="top"/>
      <protection locked="0"/>
    </xf>
    <xf numFmtId="0" fontId="75" fillId="0" borderId="0" applyNumberFormat="0" applyFill="0" applyBorder="0" applyAlignment="0" applyProtection="0"/>
    <xf numFmtId="0" fontId="24" fillId="0" borderId="0" applyNumberFormat="0" applyFill="0" applyBorder="0" applyAlignment="0" applyProtection="0"/>
    <xf numFmtId="0" fontId="76" fillId="0" borderId="0" applyNumberFormat="0" applyFill="0" applyBorder="0" applyAlignment="0" applyProtection="0">
      <alignment vertical="top"/>
      <protection locked="0"/>
    </xf>
    <xf numFmtId="1" fontId="19" fillId="0" borderId="0" applyProtection="0">
      <protection locked="0"/>
    </xf>
    <xf numFmtId="0" fontId="77" fillId="39" borderId="0">
      <alignment horizontal="left"/>
    </xf>
    <xf numFmtId="38" fontId="78" fillId="0" borderId="0" applyFont="0" applyFill="0" applyBorder="0" applyAlignment="0" applyProtection="0"/>
    <xf numFmtId="40" fontId="78" fillId="0" borderId="0" applyFont="0" applyFill="0" applyBorder="0" applyAlignment="0" applyProtection="0"/>
    <xf numFmtId="184" fontId="78" fillId="0" borderId="0" applyFont="0" applyFill="0" applyBorder="0" applyAlignment="0" applyProtection="0"/>
    <xf numFmtId="185" fontId="78" fillId="0" borderId="0" applyFont="0" applyFill="0" applyBorder="0" applyAlignment="0" applyProtection="0"/>
    <xf numFmtId="184" fontId="78" fillId="0" borderId="0" applyFont="0" applyFill="0" applyBorder="0" applyAlignment="0" applyProtection="0"/>
    <xf numFmtId="185" fontId="78" fillId="0" borderId="0" applyFont="0" applyFill="0" applyBorder="0" applyAlignment="0" applyProtection="0"/>
    <xf numFmtId="171" fontId="78" fillId="0" borderId="0" applyFont="0" applyFill="0" applyBorder="0" applyAlignment="0" applyProtection="0"/>
    <xf numFmtId="186" fontId="78" fillId="0" borderId="0" applyFont="0" applyFill="0" applyBorder="0" applyAlignment="0" applyProtection="0"/>
    <xf numFmtId="187" fontId="25" fillId="0" borderId="0"/>
    <xf numFmtId="0" fontId="22" fillId="0" borderId="0"/>
    <xf numFmtId="0" fontId="25" fillId="0" borderId="0"/>
    <xf numFmtId="9" fontId="78" fillId="0" borderId="17" applyNumberFormat="0" applyBorder="0"/>
    <xf numFmtId="4" fontId="72" fillId="0" borderId="0">
      <alignment horizontal="right"/>
    </xf>
    <xf numFmtId="0" fontId="78" fillId="0" borderId="0" applyNumberFormat="0" applyFont="0" applyFill="0" applyBorder="0" applyAlignment="0" applyProtection="0">
      <alignment horizontal="left"/>
    </xf>
    <xf numFmtId="0" fontId="79" fillId="0" borderId="29">
      <alignment horizontal="center"/>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4" fontId="81" fillId="0" borderId="0">
      <alignment horizontal="right"/>
    </xf>
    <xf numFmtId="0" fontId="82" fillId="0" borderId="0">
      <alignment horizontal="left"/>
    </xf>
    <xf numFmtId="0" fontId="83" fillId="0" borderId="0"/>
    <xf numFmtId="0" fontId="84" fillId="0" borderId="0">
      <alignment vertical="center"/>
    </xf>
    <xf numFmtId="0" fontId="85" fillId="0" borderId="0">
      <alignment horizontal="center"/>
    </xf>
    <xf numFmtId="0" fontId="16" fillId="0" borderId="54" applyNumberFormat="0" applyFont="0" applyFill="0" applyAlignment="0" applyProtection="0"/>
    <xf numFmtId="0" fontId="26" fillId="0" borderId="0"/>
    <xf numFmtId="0" fontId="25" fillId="40" borderId="0"/>
    <xf numFmtId="0" fontId="52" fillId="0" borderId="0" applyNumberFormat="0" applyFill="0" applyBorder="0" applyAlignment="0" applyProtection="0">
      <alignment vertical="top"/>
      <protection locked="0"/>
    </xf>
    <xf numFmtId="3" fontId="86" fillId="0" borderId="0" applyFont="0" applyFill="0" applyBorder="0" applyAlignment="0" applyProtection="0"/>
    <xf numFmtId="0" fontId="11" fillId="0" borderId="3">
      <alignment horizontal="center" vertical="center"/>
    </xf>
    <xf numFmtId="9" fontId="87" fillId="0" borderId="0" applyFont="0" applyFill="0" applyBorder="0" applyAlignment="0" applyProtection="0"/>
    <xf numFmtId="0" fontId="88" fillId="0" borderId="0"/>
    <xf numFmtId="0" fontId="78" fillId="0" borderId="0"/>
    <xf numFmtId="0" fontId="17" fillId="0" borderId="0">
      <alignment vertical="center"/>
    </xf>
    <xf numFmtId="0" fontId="25" fillId="0" borderId="0"/>
    <xf numFmtId="167" fontId="11" fillId="0" borderId="0" applyFont="0" applyFill="0" applyBorder="0" applyAlignment="0" applyProtection="0"/>
    <xf numFmtId="169" fontId="11" fillId="0" borderId="0" applyFont="0" applyFill="0" applyBorder="0" applyAlignment="0" applyProtection="0"/>
    <xf numFmtId="166" fontId="11" fillId="0" borderId="0" applyFont="0" applyFill="0" applyBorder="0" applyAlignment="0" applyProtection="0"/>
    <xf numFmtId="168" fontId="11" fillId="0" borderId="0" applyFont="0" applyFill="0" applyBorder="0" applyAlignment="0" applyProtection="0"/>
    <xf numFmtId="0" fontId="78" fillId="0" borderId="0"/>
    <xf numFmtId="0" fontId="19" fillId="0" borderId="2"/>
    <xf numFmtId="9" fontId="13" fillId="0" borderId="0" applyFont="0" applyFill="0" applyBorder="0" applyAlignment="0" applyProtection="0"/>
    <xf numFmtId="9" fontId="10"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9" fillId="0" borderId="2"/>
    <xf numFmtId="170" fontId="25" fillId="0" borderId="0" applyFont="0" applyFill="0" applyBorder="0" applyAlignment="0" applyProtection="0"/>
    <xf numFmtId="0" fontId="54"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25" fillId="0" borderId="0"/>
    <xf numFmtId="0" fontId="25" fillId="0" borderId="0"/>
    <xf numFmtId="0" fontId="25" fillId="0" borderId="0"/>
    <xf numFmtId="0" fontId="84" fillId="0" borderId="0">
      <alignment vertical="center"/>
    </xf>
    <xf numFmtId="0" fontId="91" fillId="0" borderId="0"/>
    <xf numFmtId="0" fontId="11" fillId="0" borderId="0" applyNumberFormat="0" applyFill="0" applyBorder="0" applyAlignment="0" applyProtection="0"/>
    <xf numFmtId="0" fontId="25" fillId="40" borderId="0"/>
    <xf numFmtId="0" fontId="17" fillId="0" borderId="0"/>
    <xf numFmtId="0" fontId="11" fillId="0" borderId="0" applyNumberFormat="0" applyFill="0" applyBorder="0" applyAlignment="0" applyProtection="0"/>
    <xf numFmtId="0" fontId="86" fillId="0" borderId="0" applyFont="0" applyFill="0" applyBorder="0" applyAlignment="0" applyProtection="0"/>
    <xf numFmtId="0" fontId="25" fillId="0" borderId="0"/>
    <xf numFmtId="0" fontId="92" fillId="0" borderId="14" applyNumberFormat="0" applyFill="0" applyBorder="0" applyAlignment="0" applyProtection="0">
      <alignment horizontal="centerContinuous" vertical="center"/>
    </xf>
    <xf numFmtId="41" fontId="93" fillId="0" borderId="0" applyFont="0" applyFill="0" applyBorder="0" applyAlignment="0" applyProtection="0"/>
    <xf numFmtId="40" fontId="17" fillId="0" borderId="0" applyFont="0" applyFill="0" applyBorder="0" applyAlignment="0" applyProtection="0"/>
    <xf numFmtId="0" fontId="94" fillId="0" borderId="0" applyFont="0" applyFill="0" applyBorder="0" applyAlignment="0" applyProtection="0"/>
    <xf numFmtId="40" fontId="29" fillId="0" borderId="0" applyFont="0" applyFill="0" applyBorder="0" applyAlignment="0" applyProtection="0"/>
    <xf numFmtId="38" fontId="29" fillId="0" borderId="0" applyFont="0" applyFill="0" applyBorder="0" applyAlignment="0" applyProtection="0"/>
    <xf numFmtId="188" fontId="95" fillId="0" borderId="53" applyFill="0" applyBorder="0" applyAlignment="0" applyProtection="0">
      <alignment vertical="center"/>
    </xf>
    <xf numFmtId="175" fontId="92" fillId="0" borderId="53"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174" fontId="25" fillId="0" borderId="0"/>
    <xf numFmtId="0" fontId="96" fillId="0" borderId="0" applyNumberFormat="0" applyFill="0" applyBorder="0" applyAlignment="0" applyProtection="0"/>
    <xf numFmtId="0" fontId="97" fillId="0" borderId="0" applyNumberFormat="0" applyFill="0" applyBorder="0" applyAlignment="0" applyProtection="0"/>
    <xf numFmtId="0" fontId="86" fillId="0" borderId="54" applyNumberFormat="0" applyFont="0" applyFill="0" applyAlignment="0" applyProtection="0"/>
    <xf numFmtId="0" fontId="17" fillId="0" borderId="0"/>
    <xf numFmtId="0" fontId="98" fillId="0" borderId="0">
      <alignment horizontal="center" vertical="center"/>
    </xf>
    <xf numFmtId="0" fontId="99" fillId="0" borderId="0"/>
    <xf numFmtId="2" fontId="86" fillId="0" borderId="0" applyFont="0" applyFill="0" applyBorder="0" applyAlignment="0" applyProtection="0"/>
    <xf numFmtId="40" fontId="100" fillId="0" borderId="0" applyFont="0" applyFill="0" applyBorder="0" applyAlignment="0" applyProtection="0"/>
    <xf numFmtId="38" fontId="100" fillId="0" borderId="0" applyFont="0" applyFill="0" applyBorder="0" applyAlignment="0" applyProtection="0"/>
    <xf numFmtId="0" fontId="22" fillId="0" borderId="0"/>
    <xf numFmtId="165" fontId="29" fillId="0" borderId="0" applyFont="0" applyFill="0" applyBorder="0" applyAlignment="0" applyProtection="0"/>
    <xf numFmtId="164" fontId="29" fillId="0" borderId="0" applyFont="0" applyFill="0" applyBorder="0" applyAlignment="0" applyProtection="0"/>
    <xf numFmtId="0" fontId="101" fillId="0" borderId="0" applyNumberFormat="0" applyFill="0" applyBorder="0" applyAlignment="0" applyProtection="0">
      <alignment vertical="top"/>
      <protection locked="0"/>
    </xf>
    <xf numFmtId="0" fontId="86" fillId="0" borderId="0" applyFont="0" applyFill="0" applyBorder="0" applyAlignment="0" applyProtection="0"/>
    <xf numFmtId="0" fontId="19" fillId="38" borderId="0" applyNumberFormat="0" applyFont="0" applyBorder="0" applyAlignment="0" applyProtection="0">
      <alignment horizontal="center"/>
      <protection locked="0"/>
    </xf>
    <xf numFmtId="0" fontId="86" fillId="0" borderId="0" applyFont="0" applyFill="0" applyBorder="0" applyAlignment="0" applyProtection="0"/>
    <xf numFmtId="0" fontId="25" fillId="0" borderId="0"/>
    <xf numFmtId="0" fontId="99" fillId="0" borderId="0"/>
    <xf numFmtId="0" fontId="13" fillId="0" borderId="0"/>
    <xf numFmtId="0" fontId="10" fillId="0" borderId="0">
      <alignment vertical="center"/>
    </xf>
    <xf numFmtId="0" fontId="102" fillId="0" borderId="0">
      <alignment vertical="center"/>
    </xf>
    <xf numFmtId="0" fontId="103" fillId="0" borderId="0">
      <alignment vertical="center"/>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49" fontId="25" fillId="0" borderId="55" applyBorder="0"/>
    <xf numFmtId="0" fontId="25" fillId="0" borderId="0"/>
    <xf numFmtId="0" fontId="31" fillId="0" borderId="0"/>
    <xf numFmtId="0" fontId="100" fillId="0" borderId="0" applyFont="0" applyFill="0" applyBorder="0" applyAlignment="0" applyProtection="0"/>
    <xf numFmtId="0" fontId="100" fillId="0" borderId="0" applyFont="0" applyFill="0" applyBorder="0" applyAlignment="0" applyProtection="0"/>
    <xf numFmtId="10" fontId="16" fillId="0" borderId="0" applyFont="0" applyFill="0" applyBorder="0" applyAlignment="0" applyProtection="0"/>
    <xf numFmtId="0" fontId="105" fillId="0" borderId="0"/>
    <xf numFmtId="0" fontId="25" fillId="0" borderId="0"/>
    <xf numFmtId="38" fontId="106" fillId="0" borderId="0" applyFont="0" applyFill="0" applyBorder="0" applyAlignment="0" applyProtection="0"/>
    <xf numFmtId="40" fontId="106" fillId="0" borderId="0" applyFont="0" applyFill="0" applyBorder="0" applyAlignment="0" applyProtection="0"/>
    <xf numFmtId="164" fontId="106" fillId="0" borderId="0" applyFont="0" applyFill="0" applyBorder="0" applyAlignment="0" applyProtection="0"/>
    <xf numFmtId="165" fontId="106" fillId="0" borderId="0" applyFont="0" applyFill="0" applyBorder="0" applyAlignment="0" applyProtection="0"/>
    <xf numFmtId="0" fontId="50" fillId="0" borderId="0" applyNumberFormat="0" applyFill="0" applyBorder="0" applyAlignment="0" applyProtection="0">
      <alignment vertical="top"/>
      <protection locked="0"/>
    </xf>
    <xf numFmtId="189" fontId="16" fillId="0" borderId="0" applyFont="0" applyFill="0" applyBorder="0" applyAlignment="0" applyProtection="0"/>
    <xf numFmtId="190" fontId="16" fillId="0" borderId="0" applyFont="0" applyFill="0" applyBorder="0" applyAlignment="0" applyProtection="0"/>
    <xf numFmtId="165" fontId="107" fillId="0" borderId="0" applyFont="0" applyFill="0" applyBorder="0" applyAlignment="0" applyProtection="0"/>
    <xf numFmtId="164" fontId="107" fillId="0" borderId="0" applyFont="0" applyFill="0" applyBorder="0" applyAlignment="0" applyProtection="0"/>
    <xf numFmtId="0" fontId="108" fillId="0" borderId="0"/>
    <xf numFmtId="49" fontId="25" fillId="0" borderId="0"/>
    <xf numFmtId="0" fontId="25" fillId="0" borderId="0"/>
    <xf numFmtId="0" fontId="24" fillId="0" borderId="57" applyNumberFormat="0" applyAlignment="0" applyProtection="0"/>
    <xf numFmtId="165" fontId="109" fillId="0" borderId="0" applyFont="0" applyFill="0" applyBorder="0" applyAlignment="0" applyProtection="0"/>
    <xf numFmtId="0" fontId="17" fillId="0" borderId="0" applyNumberFormat="0"/>
    <xf numFmtId="0" fontId="78" fillId="0" borderId="0" applyFont="0" applyFill="0" applyBorder="0" applyAlignment="0" applyProtection="0"/>
    <xf numFmtId="40" fontId="109" fillId="0" borderId="0" applyFont="0" applyFill="0" applyBorder="0" applyAlignment="0" applyProtection="0"/>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48"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38" fontId="17" fillId="0" borderId="0" applyFill="0" applyBorder="0" applyAlignment="0" applyProtection="0"/>
    <xf numFmtId="191" fontId="17" fillId="0" borderId="0" applyFill="0" applyBorder="0" applyAlignment="0" applyProtection="0"/>
    <xf numFmtId="177" fontId="112" fillId="0" borderId="0" applyFont="0" applyFill="0" applyBorder="0" applyAlignment="0" applyProtection="0"/>
    <xf numFmtId="192" fontId="17" fillId="0" borderId="0" applyFill="0" applyBorder="0" applyAlignment="0" applyProtection="0"/>
    <xf numFmtId="0" fontId="113"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50" fillId="0" borderId="0" applyNumberFormat="0" applyFill="0" applyBorder="0" applyAlignment="0" applyProtection="0"/>
    <xf numFmtId="0" fontId="114"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0" fontId="115" fillId="0" borderId="0" applyNumberFormat="0" applyFill="0" applyBorder="0" applyAlignment="0" applyProtection="0"/>
    <xf numFmtId="0" fontId="116" fillId="0" borderId="0" applyNumberFormat="0" applyFill="0" applyBorder="0" applyAlignment="0" applyProtection="0"/>
    <xf numFmtId="0" fontId="53"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8" fillId="0" borderId="0" applyNumberFormat="0" applyFill="0" applyBorder="0" applyAlignment="0" applyProtection="0"/>
    <xf numFmtId="0" fontId="16" fillId="0" borderId="0"/>
    <xf numFmtId="170" fontId="109" fillId="0" borderId="0" applyFont="0" applyFill="0" applyBorder="0" applyAlignment="0" applyProtection="0"/>
    <xf numFmtId="0" fontId="119" fillId="0" borderId="0"/>
    <xf numFmtId="0" fontId="78" fillId="0" borderId="0" applyFont="0" applyFill="0" applyBorder="0" applyAlignment="0" applyProtection="0"/>
    <xf numFmtId="0" fontId="120" fillId="38" borderId="0" applyNumberFormat="0" applyFont="0" applyBorder="0" applyAlignment="0" applyProtection="0">
      <alignment horizontal="center"/>
      <protection locked="0"/>
    </xf>
    <xf numFmtId="0" fontId="24" fillId="0" borderId="58">
      <alignment horizontal="left" vertical="center"/>
    </xf>
    <xf numFmtId="0" fontId="121" fillId="0" borderId="0"/>
    <xf numFmtId="0" fontId="122" fillId="0" borderId="0"/>
    <xf numFmtId="0" fontId="123" fillId="0" borderId="0">
      <alignment vertical="center"/>
    </xf>
    <xf numFmtId="0" fontId="24" fillId="0" borderId="42" applyNumberFormat="0" applyAlignment="0" applyProtection="0">
      <alignment horizontal="left" vertical="center"/>
    </xf>
    <xf numFmtId="0" fontId="24" fillId="0" borderId="57" applyNumberFormat="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8" fillId="0" borderId="0" applyNumberFormat="0" applyFill="0" applyBorder="0" applyAlignment="0" applyProtection="0"/>
    <xf numFmtId="40" fontId="129" fillId="0" borderId="0" applyFont="0" applyFill="0" applyBorder="0" applyAlignment="0" applyProtection="0"/>
    <xf numFmtId="41" fontId="130" fillId="0" borderId="0" applyFon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0" applyNumberFormat="0" applyFont="0" applyFill="0" applyBorder="0" applyAlignment="0" applyProtection="0"/>
    <xf numFmtId="0" fontId="93" fillId="0" borderId="0"/>
    <xf numFmtId="0" fontId="135" fillId="0" borderId="0"/>
    <xf numFmtId="0" fontId="17" fillId="0" borderId="0" applyNumberFormat="0" applyFill="0" applyBorder="0" applyAlignment="0" applyProtection="0"/>
    <xf numFmtId="0" fontId="136" fillId="0" borderId="0"/>
    <xf numFmtId="0" fontId="17" fillId="0" borderId="0"/>
    <xf numFmtId="0" fontId="22" fillId="0" borderId="0">
      <alignment vertical="center"/>
    </xf>
    <xf numFmtId="0" fontId="78" fillId="0" borderId="0"/>
    <xf numFmtId="0" fontId="106" fillId="0" borderId="0"/>
    <xf numFmtId="0" fontId="106" fillId="0" borderId="0"/>
    <xf numFmtId="0" fontId="106" fillId="0" borderId="0"/>
    <xf numFmtId="0" fontId="106" fillId="0" borderId="0"/>
    <xf numFmtId="0" fontId="106" fillId="0" borderId="0"/>
    <xf numFmtId="0" fontId="16" fillId="0" borderId="0"/>
    <xf numFmtId="0" fontId="78" fillId="0" borderId="0"/>
    <xf numFmtId="0" fontId="106" fillId="0" borderId="0"/>
    <xf numFmtId="0" fontId="137" fillId="0" borderId="0"/>
    <xf numFmtId="0" fontId="106" fillId="0" borderId="0"/>
    <xf numFmtId="0" fontId="106" fillId="0" borderId="0"/>
    <xf numFmtId="0" fontId="10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37" fillId="0" borderId="0"/>
    <xf numFmtId="0" fontId="21" fillId="0" borderId="0"/>
    <xf numFmtId="0" fontId="16" fillId="0" borderId="0"/>
    <xf numFmtId="0" fontId="16" fillId="0" borderId="0"/>
    <xf numFmtId="0" fontId="16" fillId="0" borderId="0"/>
    <xf numFmtId="0" fontId="21" fillId="0" borderId="0"/>
    <xf numFmtId="0" fontId="16" fillId="0" borderId="0"/>
    <xf numFmtId="0" fontId="138" fillId="0" borderId="0"/>
    <xf numFmtId="0" fontId="138" fillId="0" borderId="0"/>
    <xf numFmtId="0" fontId="138" fillId="0" borderId="0"/>
    <xf numFmtId="0" fontId="138" fillId="0" borderId="0"/>
    <xf numFmtId="0" fontId="59" fillId="0" borderId="0"/>
    <xf numFmtId="0" fontId="78" fillId="0" borderId="0"/>
    <xf numFmtId="0" fontId="138" fillId="0" borderId="0"/>
    <xf numFmtId="0" fontId="106" fillId="0" borderId="0"/>
    <xf numFmtId="0" fontId="138" fillId="0" borderId="0"/>
    <xf numFmtId="0" fontId="106" fillId="0" borderId="0"/>
    <xf numFmtId="0" fontId="78" fillId="0" borderId="0"/>
    <xf numFmtId="0" fontId="78" fillId="0" borderId="0"/>
    <xf numFmtId="0" fontId="16" fillId="0" borderId="0"/>
    <xf numFmtId="0" fontId="16" fillId="0" borderId="0"/>
    <xf numFmtId="0" fontId="106" fillId="0" borderId="0"/>
    <xf numFmtId="0" fontId="1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06" fillId="0" borderId="0"/>
    <xf numFmtId="0" fontId="16" fillId="0" borderId="0"/>
    <xf numFmtId="0" fontId="106" fillId="0" borderId="0"/>
    <xf numFmtId="0" fontId="10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6" fillId="0" borderId="0"/>
    <xf numFmtId="0" fontId="16" fillId="0" borderId="0"/>
    <xf numFmtId="0" fontId="78" fillId="0" borderId="0"/>
    <xf numFmtId="0" fontId="78" fillId="0" borderId="0"/>
    <xf numFmtId="0" fontId="16" fillId="0" borderId="0"/>
    <xf numFmtId="0" fontId="16" fillId="0" borderId="0"/>
    <xf numFmtId="0" fontId="16" fillId="0" borderId="0"/>
    <xf numFmtId="165" fontId="11" fillId="0" borderId="0" applyFont="0" applyFill="0" applyBorder="0" applyAlignment="0" applyProtection="0"/>
    <xf numFmtId="165" fontId="60" fillId="0" borderId="0" applyFont="0" applyFill="0" applyBorder="0" applyAlignment="0" applyProtection="0"/>
    <xf numFmtId="164" fontId="60" fillId="0" borderId="0" applyFont="0" applyFill="0" applyBorder="0" applyAlignment="0" applyProtection="0"/>
    <xf numFmtId="0" fontId="17" fillId="0" borderId="0"/>
    <xf numFmtId="0" fontId="17" fillId="0" borderId="0"/>
    <xf numFmtId="0" fontId="17" fillId="0" borderId="0"/>
    <xf numFmtId="9" fontId="16" fillId="42" borderId="0"/>
    <xf numFmtId="0" fontId="24" fillId="0" borderId="42" applyNumberFormat="0" applyAlignment="0" applyProtection="0">
      <alignment horizontal="left" vertical="center"/>
    </xf>
    <xf numFmtId="0" fontId="24" fillId="0" borderId="57" applyNumberFormat="0" applyAlignment="0" applyProtection="0"/>
    <xf numFmtId="0" fontId="24" fillId="0" borderId="57" applyNumberFormat="0" applyAlignment="0" applyProtection="0"/>
    <xf numFmtId="0" fontId="24" fillId="0" borderId="57" applyNumberFormat="0" applyAlignment="0" applyProtection="0"/>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5" fontId="17" fillId="0" borderId="13"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82" fontId="11" fillId="0" borderId="60" applyFill="0" applyAlignment="0" applyProtection="0"/>
    <xf numFmtId="179" fontId="25"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6" fontId="25" fillId="0" borderId="13" applyFill="0" applyProtection="0">
      <alignment horizontal="right"/>
    </xf>
    <xf numFmtId="194" fontId="22" fillId="0" borderId="13" applyFill="0" applyProtection="0">
      <alignment horizontal="right"/>
    </xf>
    <xf numFmtId="196"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41"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41"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59"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81"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88"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9" fontId="25" fillId="0" borderId="59" applyFill="0" applyProtection="0">
      <alignment horizontal="right"/>
    </xf>
    <xf numFmtId="199" fontId="25" fillId="0" borderId="59" applyFill="0" applyProtection="0">
      <alignment horizontal="right"/>
    </xf>
    <xf numFmtId="199" fontId="41"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41"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1"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94" fontId="22"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59" applyFill="0" applyProtection="0">
      <alignment horizontal="right"/>
    </xf>
    <xf numFmtId="0" fontId="25"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41"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94" fontId="22"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41"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4" fontId="22"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7"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41"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38"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0"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93" fontId="17"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1"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41" fillId="0" borderId="13" applyFill="0" applyProtection="0">
      <alignment horizontal="right"/>
    </xf>
    <xf numFmtId="165" fontId="129" fillId="0" borderId="0" applyFont="0" applyFill="0" applyBorder="0" applyAlignment="0" applyProtection="0"/>
    <xf numFmtId="164" fontId="129" fillId="0" borderId="0" applyFont="0" applyFill="0" applyBorder="0" applyAlignment="0" applyProtection="0"/>
    <xf numFmtId="0" fontId="61" fillId="0" borderId="0"/>
    <xf numFmtId="0" fontId="61" fillId="0" borderId="0"/>
    <xf numFmtId="0" fontId="139" fillId="0" borderId="0" applyNumberFormat="0" applyFill="0" applyBorder="0" applyAlignment="0" applyProtection="0"/>
    <xf numFmtId="0" fontId="140" fillId="0" borderId="0" applyNumberFormat="0" applyFill="0" applyBorder="0" applyAlignment="0" applyProtection="0">
      <alignment vertical="top"/>
      <protection locked="0"/>
    </xf>
    <xf numFmtId="0" fontId="141" fillId="0" borderId="0" applyNumberFormat="0" applyFill="0" applyBorder="0" applyAlignment="0" applyProtection="0"/>
    <xf numFmtId="0" fontId="139"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64" fillId="0" borderId="0"/>
    <xf numFmtId="0" fontId="143" fillId="0" borderId="0"/>
    <xf numFmtId="0" fontId="144" fillId="0" borderId="0" applyNumberFormat="0" applyFill="0" applyBorder="0" applyAlignment="0" applyProtection="0"/>
    <xf numFmtId="0" fontId="145" fillId="0" borderId="0"/>
    <xf numFmtId="49" fontId="90" fillId="0" borderId="0" applyBorder="0"/>
    <xf numFmtId="43" fontId="78" fillId="0" borderId="0" applyFont="0" applyFill="0" applyBorder="0" applyAlignment="0" applyProtection="0"/>
    <xf numFmtId="40" fontId="60" fillId="0" borderId="0" applyFont="0" applyFill="0" applyBorder="0" applyAlignment="0" applyProtection="0"/>
    <xf numFmtId="41" fontId="146" fillId="0" borderId="0" applyFont="0" applyFill="0" applyBorder="0" applyAlignment="0" applyProtection="0"/>
    <xf numFmtId="40" fontId="17" fillId="0" borderId="0" applyFill="0" applyBorder="0" applyAlignment="0" applyProtection="0"/>
    <xf numFmtId="38" fontId="17" fillId="0" borderId="0" applyFill="0" applyBorder="0" applyAlignment="0" applyProtection="0"/>
    <xf numFmtId="40" fontId="143" fillId="0" borderId="0" applyFont="0" applyFill="0" applyBorder="0" applyAlignment="0" applyProtection="0"/>
    <xf numFmtId="38" fontId="143" fillId="0" borderId="0" applyFont="0" applyFill="0" applyBorder="0" applyAlignment="0" applyProtection="0"/>
    <xf numFmtId="40" fontId="17" fillId="0" borderId="0" applyFill="0" applyBorder="0" applyAlignment="0" applyProtection="0"/>
    <xf numFmtId="202" fontId="17" fillId="0" borderId="0" applyFill="0" applyBorder="0" applyAlignment="0" applyProtection="0"/>
    <xf numFmtId="165" fontId="143" fillId="0" borderId="0" applyFont="0" applyFill="0" applyBorder="0" applyAlignment="0" applyProtection="0"/>
    <xf numFmtId="164" fontId="143" fillId="0" borderId="0" applyFont="0" applyFill="0" applyBorder="0" applyAlignment="0" applyProtection="0"/>
    <xf numFmtId="192" fontId="17" fillId="0" borderId="0" applyFill="0" applyBorder="0" applyAlignment="0" applyProtection="0"/>
    <xf numFmtId="178" fontId="63" fillId="0" borderId="0" applyFont="0" applyFill="0" applyBorder="0" applyAlignment="0" applyProtection="0"/>
    <xf numFmtId="191" fontId="17" fillId="0" borderId="0" applyFill="0" applyBorder="0" applyAlignment="0" applyProtection="0"/>
    <xf numFmtId="177" fontId="63" fillId="0" borderId="0" applyFont="0" applyFill="0" applyBorder="0" applyAlignment="0" applyProtection="0"/>
    <xf numFmtId="192" fontId="17" fillId="0" borderId="0" applyFill="0" applyBorder="0" applyAlignment="0" applyProtection="0"/>
    <xf numFmtId="191" fontId="17" fillId="0" borderId="0" applyFill="0" applyBorder="0" applyAlignment="0" applyProtection="0"/>
    <xf numFmtId="0" fontId="147" fillId="0" borderId="0" applyNumberFormat="0" applyFill="0" applyBorder="0" applyAlignment="0" applyProtection="0">
      <alignment vertical="top"/>
      <protection locked="0"/>
    </xf>
    <xf numFmtId="0" fontId="148" fillId="0" borderId="0" applyNumberFormat="0" applyFill="0" applyBorder="0" applyAlignment="0" applyProtection="0"/>
    <xf numFmtId="170" fontId="17" fillId="0" borderId="0" applyFill="0" applyBorder="0" applyAlignment="0" applyProtection="0"/>
    <xf numFmtId="0" fontId="17" fillId="43" borderId="0" applyNumberFormat="0" applyBorder="0" applyAlignment="0" applyProtection="0"/>
    <xf numFmtId="0" fontId="149" fillId="0" borderId="0"/>
    <xf numFmtId="0" fontId="150" fillId="0" borderId="0">
      <alignment vertical="center"/>
    </xf>
    <xf numFmtId="0" fontId="151" fillId="0" borderId="0" applyFo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xf numFmtId="0" fontId="13" fillId="0" borderId="0"/>
    <xf numFmtId="0" fontId="13" fillId="0" borderId="0" applyNumberFormat="0" applyFill="0" applyBorder="0" applyAlignment="0"/>
    <xf numFmtId="0" fontId="152" fillId="0" borderId="61" applyNumberFormat="0" applyFont="0" applyFill="0" applyAlignment="0" applyProtection="0"/>
    <xf numFmtId="0" fontId="78" fillId="0" borderId="0"/>
    <xf numFmtId="0" fontId="78" fillId="0" borderId="0"/>
    <xf numFmtId="0" fontId="78" fillId="0" borderId="0"/>
    <xf numFmtId="0" fontId="78" fillId="0" borderId="0"/>
    <xf numFmtId="0" fontId="13" fillId="0" borderId="0"/>
    <xf numFmtId="0" fontId="153" fillId="0" borderId="0"/>
    <xf numFmtId="0" fontId="13" fillId="0" borderId="0"/>
    <xf numFmtId="0" fontId="13" fillId="0" borderId="0"/>
    <xf numFmtId="0" fontId="13" fillId="0" borderId="0"/>
    <xf numFmtId="0" fontId="13" fillId="0" borderId="0"/>
    <xf numFmtId="0" fontId="13" fillId="0" borderId="0"/>
    <xf numFmtId="0" fontId="154" fillId="44" borderId="0" applyNumberFormat="0" applyBorder="0" applyAlignment="0" applyProtection="0"/>
    <xf numFmtId="0" fontId="154" fillId="45" borderId="0" applyNumberFormat="0" applyBorder="0" applyAlignment="0" applyProtection="0"/>
    <xf numFmtId="0" fontId="154" fillId="46" borderId="0" applyNumberFormat="0" applyBorder="0" applyAlignment="0" applyProtection="0"/>
    <xf numFmtId="0" fontId="154" fillId="47"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154" fillId="48" borderId="0" applyNumberFormat="0" applyBorder="0" applyAlignment="0" applyProtection="0"/>
    <xf numFmtId="0" fontId="154" fillId="45" borderId="0" applyNumberFormat="0" applyBorder="0" applyAlignment="0" applyProtection="0"/>
    <xf numFmtId="0" fontId="154" fillId="53" borderId="0" applyNumberFormat="0" applyBorder="0" applyAlignment="0" applyProtection="0"/>
    <xf numFmtId="0" fontId="154" fillId="50"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25" fillId="0" borderId="0"/>
    <xf numFmtId="0" fontId="25" fillId="0" borderId="0"/>
    <xf numFmtId="0" fontId="155" fillId="48"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50" borderId="0" applyNumberFormat="0" applyBorder="0" applyAlignment="0" applyProtection="0"/>
    <xf numFmtId="0" fontId="155" fillId="48" borderId="0" applyNumberFormat="0" applyBorder="0" applyAlignment="0" applyProtection="0"/>
    <xf numFmtId="0" fontId="155" fillId="45" borderId="0" applyNumberFormat="0" applyBorder="0" applyAlignment="0" applyProtection="0"/>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7"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49" fontId="22" fillId="0" borderId="58"/>
    <xf numFmtId="0" fontId="155" fillId="61"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62" borderId="0" applyNumberFormat="0" applyBorder="0" applyAlignment="0" applyProtection="0"/>
    <xf numFmtId="0" fontId="155" fillId="59" borderId="0" applyNumberFormat="0" applyBorder="0" applyAlignment="0" applyProtection="0"/>
    <xf numFmtId="0" fontId="155" fillId="63" borderId="0" applyNumberFormat="0" applyBorder="0" applyAlignment="0" applyProtection="0"/>
    <xf numFmtId="0" fontId="13" fillId="0" borderId="0" applyFill="0" applyBorder="0" applyAlignment="0" applyProtection="0"/>
    <xf numFmtId="0" fontId="157" fillId="0" borderId="0" applyFont="0" applyFill="0" applyBorder="0" applyAlignment="0" applyProtection="0"/>
    <xf numFmtId="0" fontId="13" fillId="0" borderId="0" applyFill="0" applyBorder="0" applyAlignment="0" applyProtection="0"/>
    <xf numFmtId="0" fontId="78" fillId="0" borderId="0"/>
    <xf numFmtId="0" fontId="13" fillId="0" borderId="0" applyFill="0" applyBorder="0" applyAlignment="0" applyProtection="0"/>
    <xf numFmtId="0" fontId="13" fillId="0" borderId="0" applyFill="0" applyBorder="0" applyAlignment="0" applyProtection="0"/>
    <xf numFmtId="0" fontId="71" fillId="0" borderId="0" applyFont="0" applyFill="0" applyBorder="0" applyAlignment="0" applyProtection="0"/>
    <xf numFmtId="0" fontId="158" fillId="52" borderId="0" applyNumberFormat="0" applyBorder="0" applyAlignment="0" applyProtection="0"/>
    <xf numFmtId="49" fontId="22" fillId="0" borderId="58"/>
    <xf numFmtId="203" fontId="25" fillId="0" borderId="0" applyFont="0" applyFill="0" applyBorder="0" applyAlignment="0" applyProtection="0">
      <alignment horizontal="right"/>
    </xf>
    <xf numFmtId="0" fontId="25" fillId="0" borderId="0"/>
    <xf numFmtId="0" fontId="159" fillId="64" borderId="62">
      <alignment vertical="center"/>
    </xf>
    <xf numFmtId="0" fontId="70" fillId="0" borderId="0"/>
    <xf numFmtId="0" fontId="160" fillId="0" borderId="0"/>
    <xf numFmtId="0" fontId="160" fillId="0" borderId="0"/>
    <xf numFmtId="204" fontId="11" fillId="0" borderId="0" applyFill="0" applyBorder="0" applyAlignment="0"/>
    <xf numFmtId="205" fontId="11" fillId="0" borderId="0" applyFill="0" applyBorder="0" applyAlignment="0"/>
    <xf numFmtId="206" fontId="11" fillId="0" borderId="0" applyFill="0" applyBorder="0" applyAlignment="0"/>
    <xf numFmtId="207"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61" fillId="39" borderId="63" applyNumberFormat="0" applyAlignment="0" applyProtection="0"/>
    <xf numFmtId="0" fontId="162" fillId="65" borderId="64" applyNumberFormat="0" applyAlignment="0" applyProtection="0"/>
    <xf numFmtId="0" fontId="163" fillId="0" borderId="0" applyNumberFormat="0" applyFill="0" applyBorder="0" applyAlignment="0" applyProtection="0"/>
    <xf numFmtId="39" fontId="164" fillId="0" borderId="0"/>
    <xf numFmtId="39" fontId="45" fillId="0" borderId="0"/>
    <xf numFmtId="39" fontId="45" fillId="0" borderId="0"/>
    <xf numFmtId="39" fontId="45" fillId="0" borderId="0"/>
    <xf numFmtId="39" fontId="45" fillId="0" borderId="0"/>
    <xf numFmtId="39" fontId="45" fillId="0" borderId="0"/>
    <xf numFmtId="39" fontId="45" fillId="0" borderId="0"/>
    <xf numFmtId="39" fontId="45" fillId="0" borderId="0"/>
    <xf numFmtId="210" fontId="165" fillId="0" borderId="0"/>
    <xf numFmtId="210" fontId="165" fillId="0" borderId="0"/>
    <xf numFmtId="175" fontId="13" fillId="0" borderId="0" applyFont="0" applyFill="0" applyBorder="0" applyAlignment="0" applyProtection="0"/>
    <xf numFmtId="208" fontId="17" fillId="0" borderId="0" applyFill="0" applyBorder="0" applyAlignment="0" applyProtection="0"/>
    <xf numFmtId="210" fontId="165" fillId="0" borderId="0"/>
    <xf numFmtId="210" fontId="165" fillId="0" borderId="0"/>
    <xf numFmtId="211" fontId="17" fillId="0" borderId="0" applyFill="0" applyBorder="0" applyAlignment="0" applyProtection="0"/>
    <xf numFmtId="209" fontId="22" fillId="0" borderId="0" applyFont="0" applyFill="0" applyBorder="0" applyAlignment="0" applyProtection="0"/>
    <xf numFmtId="204" fontId="17" fillId="0" borderId="0" applyFill="0" applyBorder="0" applyAlignment="0" applyProtection="0"/>
    <xf numFmtId="209" fontId="17" fillId="0" borderId="0" applyFill="0" applyBorder="0" applyAlignment="0" applyProtection="0"/>
    <xf numFmtId="0" fontId="16" fillId="0" borderId="0"/>
    <xf numFmtId="14" fontId="20" fillId="0" borderId="0" applyFill="0" applyBorder="0" applyAlignment="0"/>
    <xf numFmtId="0" fontId="17" fillId="0" borderId="0" applyFill="0" applyBorder="0" applyAlignment="0" applyProtection="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6" fillId="0" borderId="0"/>
    <xf numFmtId="0" fontId="16" fillId="0" borderId="0"/>
    <xf numFmtId="0" fontId="16" fillId="0" borderId="0"/>
    <xf numFmtId="0" fontId="16" fillId="0" borderId="0"/>
    <xf numFmtId="0" fontId="166" fillId="0" borderId="0" applyNumberFormat="0" applyFill="0" applyBorder="0" applyAlignment="0" applyProtection="0"/>
    <xf numFmtId="0" fontId="167" fillId="0" borderId="0" applyNumberFormat="0" applyFill="0" applyBorder="0" applyAlignment="0" applyProtection="0"/>
    <xf numFmtId="0" fontId="59" fillId="0" borderId="0"/>
    <xf numFmtId="0" fontId="59" fillId="0" borderId="0"/>
    <xf numFmtId="0" fontId="168" fillId="48" borderId="0" applyNumberFormat="0" applyBorder="0" applyAlignment="0" applyProtection="0"/>
    <xf numFmtId="212" fontId="169" fillId="0" borderId="0" applyNumberFormat="0" applyFill="0" applyBorder="0" applyProtection="0">
      <alignment horizontal="right"/>
    </xf>
    <xf numFmtId="0" fontId="170" fillId="0" borderId="0">
      <alignment horizontal="left" vertical="center"/>
    </xf>
    <xf numFmtId="0" fontId="171" fillId="0" borderId="65" applyNumberFormat="0" applyFill="0" applyAlignment="0" applyProtection="0"/>
    <xf numFmtId="0" fontId="171" fillId="0" borderId="0" applyNumberFormat="0" applyFill="0" applyBorder="0" applyAlignment="0" applyProtection="0"/>
    <xf numFmtId="0" fontId="75" fillId="0" borderId="0" applyNumberFormat="0" applyFill="0" applyBorder="0" applyAlignment="0" applyProtection="0"/>
    <xf numFmtId="0" fontId="24" fillId="0" borderId="0" applyNumberFormat="0" applyFill="0" applyBorder="0" applyAlignment="0" applyProtection="0"/>
    <xf numFmtId="0" fontId="13" fillId="0" borderId="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25" fillId="0" borderId="0"/>
    <xf numFmtId="0" fontId="25" fillId="0" borderId="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73" fillId="0" borderId="66" applyNumberFormat="0" applyFill="0" applyAlignment="0" applyProtection="0"/>
    <xf numFmtId="38"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5" fontId="78" fillId="0" borderId="0" applyFont="0" applyFill="0" applyBorder="0" applyAlignment="0" applyProtection="0"/>
    <xf numFmtId="171" fontId="78" fillId="0" borderId="0" applyFont="0" applyFill="0" applyBorder="0" applyAlignment="0" applyProtection="0"/>
    <xf numFmtId="0" fontId="26" fillId="0" borderId="0" applyBorder="0" applyAlignment="0"/>
    <xf numFmtId="49" fontId="174" fillId="0" borderId="57">
      <alignment horizontal="center"/>
    </xf>
    <xf numFmtId="49" fontId="22" fillId="0" borderId="67">
      <alignment horizontal="left"/>
    </xf>
    <xf numFmtId="0" fontId="175" fillId="53" borderId="0" applyNumberFormat="0" applyBorder="0" applyAlignment="0" applyProtection="0"/>
    <xf numFmtId="37" fontId="176"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213" fontId="178" fillId="0" borderId="0"/>
    <xf numFmtId="0" fontId="16" fillId="0" borderId="0"/>
    <xf numFmtId="0" fontId="22" fillId="46" borderId="68" applyNumberFormat="0" applyFont="0" applyAlignment="0" applyProtection="0"/>
    <xf numFmtId="214" fontId="165" fillId="0" borderId="0"/>
    <xf numFmtId="0" fontId="78" fillId="0" borderId="0" applyFont="0" applyFill="0" applyBorder="0" applyAlignment="0" applyProtection="0"/>
    <xf numFmtId="0" fontId="17" fillId="0" borderId="0" applyFill="0" applyBorder="0" applyAlignment="0" applyProtection="0"/>
    <xf numFmtId="0" fontId="179" fillId="39" borderId="69" applyNumberFormat="0" applyAlignment="0" applyProtection="0"/>
    <xf numFmtId="0" fontId="25" fillId="0" borderId="0"/>
    <xf numFmtId="0" fontId="25" fillId="0" borderId="0"/>
    <xf numFmtId="215" fontId="17" fillId="0" borderId="0" applyFill="0" applyBorder="0" applyAlignment="0" applyProtection="0"/>
    <xf numFmtId="208" fontId="17" fillId="0" borderId="0" applyFill="0" applyBorder="0" applyAlignment="0" applyProtection="0"/>
    <xf numFmtId="170" fontId="16" fillId="0" borderId="0" applyFont="0" applyFill="0" applyBorder="0" applyAlignment="0" applyProtection="0"/>
    <xf numFmtId="207" fontId="17" fillId="0" borderId="0" applyFill="0" applyBorder="0" applyAlignment="0" applyProtection="0"/>
    <xf numFmtId="211" fontId="17" fillId="0" borderId="0" applyFill="0" applyBorder="0" applyAlignment="0" applyProtection="0"/>
    <xf numFmtId="10" fontId="16" fillId="0" borderId="0" applyFont="0" applyFill="0" applyBorder="0" applyAlignment="0" applyProtection="0"/>
    <xf numFmtId="211" fontId="17" fillId="0" borderId="0" applyFill="0" applyBorder="0" applyAlignment="0" applyProtection="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15" fontId="78" fillId="0" borderId="0" applyFont="0" applyFill="0" applyBorder="0" applyAlignment="0" applyProtection="0"/>
    <xf numFmtId="4" fontId="78" fillId="0" borderId="0" applyFont="0" applyFill="0" applyBorder="0" applyAlignment="0" applyProtection="0"/>
    <xf numFmtId="3" fontId="78" fillId="0" borderId="0" applyFont="0" applyFill="0" applyBorder="0" applyAlignment="0" applyProtection="0"/>
    <xf numFmtId="0" fontId="78" fillId="66" borderId="0" applyNumberFormat="0" applyFont="0" applyBorder="0" applyAlignment="0" applyProtection="0"/>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38" fillId="0" borderId="0"/>
    <xf numFmtId="0" fontId="163" fillId="0" borderId="0" applyNumberFormat="0" applyFill="0" applyBorder="0" applyAlignment="0" applyProtection="0"/>
    <xf numFmtId="0" fontId="16" fillId="0" borderId="0"/>
    <xf numFmtId="0" fontId="181" fillId="0" borderId="0"/>
    <xf numFmtId="49" fontId="20" fillId="0" borderId="0" applyFill="0" applyBorder="0" applyAlignment="0"/>
    <xf numFmtId="211" fontId="41" fillId="0" borderId="0" applyFill="0" applyBorder="0" applyAlignment="0"/>
    <xf numFmtId="204" fontId="41" fillId="0" borderId="0" applyFill="0" applyBorder="0" applyAlignment="0"/>
    <xf numFmtId="216" fontId="17" fillId="0" borderId="0" applyFill="0" applyBorder="0" applyAlignment="0" applyProtection="0"/>
    <xf numFmtId="217" fontId="17" fillId="0" borderId="0" applyFill="0" applyBorder="0" applyAlignment="0" applyProtection="0"/>
    <xf numFmtId="0" fontId="173" fillId="0" borderId="0" applyNumberFormat="0" applyFill="0" applyBorder="0" applyAlignment="0" applyProtection="0"/>
    <xf numFmtId="0" fontId="78" fillId="0" borderId="0"/>
    <xf numFmtId="0" fontId="78" fillId="0" borderId="0"/>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25" fillId="64" borderId="0"/>
    <xf numFmtId="0" fontId="17" fillId="37" borderId="7"/>
    <xf numFmtId="0" fontId="106" fillId="0" borderId="0"/>
    <xf numFmtId="0" fontId="16" fillId="0" borderId="0"/>
    <xf numFmtId="0" fontId="16" fillId="0" borderId="0"/>
    <xf numFmtId="0" fontId="16" fillId="0" borderId="0"/>
    <xf numFmtId="0" fontId="182" fillId="0" borderId="0" applyFill="0" applyBorder="0" applyAlignment="0"/>
    <xf numFmtId="0" fontId="183" fillId="0" borderId="0" applyNumberFormat="0" applyFill="0" applyBorder="0" applyAlignment="0" applyProtection="0">
      <alignment vertical="top"/>
      <protection locked="0"/>
    </xf>
    <xf numFmtId="218" fontId="19" fillId="0" borderId="0" applyFont="0" applyFill="0" applyBorder="0" applyAlignment="0" applyProtection="0"/>
    <xf numFmtId="219" fontId="19" fillId="0" borderId="0" applyFont="0" applyFill="0" applyBorder="0" applyAlignment="0" applyProtection="0"/>
    <xf numFmtId="220" fontId="184" fillId="0" borderId="0" applyBorder="0"/>
    <xf numFmtId="221" fontId="184" fillId="0" borderId="0" applyBorder="0"/>
    <xf numFmtId="0" fontId="185" fillId="0" borderId="0" applyNumberFormat="0" applyFill="0" applyBorder="0" applyAlignment="0" applyProtection="0">
      <alignment vertical="center"/>
    </xf>
    <xf numFmtId="0" fontId="186" fillId="65" borderId="64" applyNumberFormat="0" applyAlignment="0" applyProtection="0">
      <alignment vertical="center"/>
    </xf>
    <xf numFmtId="0" fontId="25" fillId="0" borderId="0"/>
    <xf numFmtId="0" fontId="103" fillId="0" borderId="0">
      <alignment vertical="top" wrapText="1"/>
    </xf>
    <xf numFmtId="0" fontId="187" fillId="53" borderId="0" applyNumberFormat="0" applyBorder="0" applyAlignment="0" applyProtection="0">
      <alignment vertical="center"/>
    </xf>
    <xf numFmtId="204" fontId="17" fillId="0" borderId="0" applyFill="0" applyBorder="0" applyAlignment="0" applyProtection="0"/>
    <xf numFmtId="211" fontId="17" fillId="0" borderId="0" applyFill="0" applyBorder="0" applyAlignment="0" applyProtection="0"/>
    <xf numFmtId="222" fontId="17" fillId="0" borderId="0"/>
    <xf numFmtId="222" fontId="17" fillId="0" borderId="0"/>
    <xf numFmtId="9" fontId="103" fillId="69" borderId="0"/>
    <xf numFmtId="9" fontId="11" fillId="0" borderId="0" applyFont="0" applyFill="0" applyBorder="0" applyAlignment="0" applyProtection="0"/>
    <xf numFmtId="223" fontId="17" fillId="0" borderId="0" applyFont="0" applyFill="0" applyBorder="0" applyAlignment="0" applyProtection="0"/>
    <xf numFmtId="224" fontId="17" fillId="0" borderId="0" applyFont="0" applyFill="0" applyBorder="0" applyAlignment="0" applyProtection="0">
      <alignment vertical="top"/>
    </xf>
    <xf numFmtId="225" fontId="17" fillId="0" borderId="0" applyFont="0" applyFill="0" applyBorder="0" applyAlignment="0" applyProtection="0"/>
    <xf numFmtId="9" fontId="103" fillId="70" borderId="0"/>
    <xf numFmtId="0" fontId="188"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189" fillId="0" borderId="0" applyNumberFormat="0" applyFill="0" applyBorder="0" applyAlignment="0" applyProtection="0">
      <alignment vertical="top"/>
      <protection locked="0"/>
    </xf>
    <xf numFmtId="0" fontId="190" fillId="0" borderId="0" applyNumberFormat="0" applyFill="0" applyBorder="0" applyAlignment="0" applyProtection="0">
      <alignment vertical="top"/>
      <protection locked="0"/>
    </xf>
    <xf numFmtId="0" fontId="191" fillId="0" borderId="0" applyNumberFormat="0" applyFill="0" applyBorder="0" applyAlignment="0" applyProtection="0"/>
    <xf numFmtId="0" fontId="192" fillId="0" borderId="0" applyNumberFormat="0" applyFill="0" applyBorder="0" applyAlignment="0" applyProtection="0"/>
    <xf numFmtId="0" fontId="89" fillId="0" borderId="0" applyNumberFormat="0" applyFill="0" applyBorder="0" applyAlignment="0" applyProtection="0"/>
    <xf numFmtId="0" fontId="148" fillId="0" borderId="0" applyNumberFormat="0" applyFill="0" applyBorder="0" applyAlignment="0" applyProtection="0"/>
    <xf numFmtId="0" fontId="25" fillId="0" borderId="0"/>
    <xf numFmtId="0" fontId="25" fillId="0" borderId="0"/>
    <xf numFmtId="0" fontId="16" fillId="0" borderId="0"/>
    <xf numFmtId="0" fontId="99" fillId="0" borderId="0"/>
    <xf numFmtId="0" fontId="42" fillId="46" borderId="68" applyNumberFormat="0" applyFont="0" applyAlignment="0" applyProtection="0">
      <alignment vertical="center"/>
    </xf>
    <xf numFmtId="226" fontId="17" fillId="0" borderId="0" applyFill="0" applyBorder="0" applyAlignment="0" applyProtection="0"/>
    <xf numFmtId="4" fontId="17" fillId="0" borderId="0" applyFill="0" applyBorder="0" applyAlignment="0" applyProtection="0"/>
    <xf numFmtId="0" fontId="193" fillId="0" borderId="70" applyNumberFormat="0" applyFill="0" applyAlignment="0" applyProtection="0">
      <alignment vertical="center"/>
    </xf>
    <xf numFmtId="0" fontId="24" fillId="0" borderId="8">
      <alignment horizontal="left" vertical="center"/>
    </xf>
    <xf numFmtId="227" fontId="194" fillId="0" borderId="0" applyFont="0" applyFill="0" applyBorder="0" applyAlignment="0" applyProtection="0"/>
    <xf numFmtId="38" fontId="17" fillId="0" borderId="0" applyFont="0" applyFill="0" applyBorder="0" applyAlignment="0" applyProtection="0"/>
    <xf numFmtId="41" fontId="112" fillId="0" borderId="0" applyFont="0" applyFill="0" applyBorder="0" applyAlignment="0" applyProtection="0"/>
    <xf numFmtId="40" fontId="17" fillId="0" borderId="0" applyFont="0" applyFill="0" applyBorder="0" applyAlignment="0" applyProtection="0"/>
    <xf numFmtId="164" fontId="17" fillId="0" borderId="0" applyFont="0" applyFill="0" applyBorder="0" applyAlignment="0" applyProtection="0"/>
    <xf numFmtId="228" fontId="112" fillId="0" borderId="0" applyFont="0" applyFill="0" applyBorder="0" applyAlignment="0" applyProtection="0"/>
    <xf numFmtId="165" fontId="17" fillId="0" borderId="0" applyFont="0" applyFill="0" applyBorder="0" applyAlignment="0" applyProtection="0"/>
    <xf numFmtId="0" fontId="50" fillId="0" borderId="0" applyNumberFormat="0" applyFill="0" applyBorder="0" applyAlignment="0" applyProtection="0"/>
    <xf numFmtId="0" fontId="195" fillId="0" borderId="0" applyNumberFormat="0" applyFill="0" applyBorder="0" applyAlignment="0" applyProtection="0"/>
    <xf numFmtId="0" fontId="106" fillId="0" borderId="0"/>
    <xf numFmtId="0" fontId="11" fillId="0" borderId="0" applyNumberFormat="0" applyFill="0" applyBorder="0" applyAlignment="0" applyProtection="0"/>
    <xf numFmtId="0" fontId="25" fillId="64" borderId="0"/>
    <xf numFmtId="0" fontId="196" fillId="0" borderId="0"/>
    <xf numFmtId="167" fontId="23" fillId="0" borderId="0" applyFont="0" applyFill="0" applyBorder="0" applyAlignment="0" applyProtection="0"/>
    <xf numFmtId="38" fontId="78" fillId="0" borderId="0" applyFill="0" applyBorder="0" applyAlignment="0" applyProtection="0"/>
    <xf numFmtId="169" fontId="16" fillId="0" borderId="0" applyFont="0" applyFill="0" applyBorder="0" applyAlignment="0" applyProtection="0"/>
    <xf numFmtId="0" fontId="17" fillId="0" borderId="0"/>
    <xf numFmtId="0" fontId="163" fillId="0" borderId="0" applyNumberFormat="0" applyFill="0" applyBorder="0" applyAlignment="0" applyProtection="0"/>
    <xf numFmtId="0" fontId="17" fillId="0" borderId="0"/>
    <xf numFmtId="0" fontId="17" fillId="0" borderId="0"/>
    <xf numFmtId="0" fontId="17" fillId="0" borderId="0"/>
    <xf numFmtId="38" fontId="78" fillId="0" borderId="0" applyFont="0" applyFill="0" applyBorder="0" applyAlignment="0" applyProtection="0"/>
    <xf numFmtId="0" fontId="197" fillId="50" borderId="0" applyNumberFormat="0" applyBorder="0" applyAlignment="0" applyProtection="0">
      <alignment vertical="center"/>
    </xf>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7"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7" fillId="0" borderId="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25" fillId="0" borderId="0"/>
    <xf numFmtId="0" fontId="199" fillId="0" borderId="0" applyNumberFormat="0" applyFill="0" applyBorder="0" applyAlignment="0" applyProtection="0">
      <alignment vertical="center"/>
    </xf>
    <xf numFmtId="0" fontId="19" fillId="0" borderId="0" applyBorder="0"/>
    <xf numFmtId="0" fontId="27" fillId="0" borderId="0"/>
    <xf numFmtId="0" fontId="200" fillId="71" borderId="63" applyNumberFormat="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229" fontId="17" fillId="0" borderId="0" applyFill="0" applyBorder="0" applyAlignment="0" applyProtection="0"/>
    <xf numFmtId="40" fontId="11" fillId="0" borderId="0" applyFont="0" applyFill="0" applyBorder="0" applyAlignment="0" applyProtection="0"/>
    <xf numFmtId="40" fontId="17" fillId="0" borderId="0" applyFont="0" applyFill="0" applyBorder="0" applyAlignment="0" applyProtection="0"/>
    <xf numFmtId="40" fontId="29" fillId="0" borderId="0" applyFont="0" applyFill="0" applyBorder="0" applyAlignment="0" applyProtection="0"/>
    <xf numFmtId="38" fontId="11" fillId="0" borderId="0" applyFill="0" applyBorder="0" applyAlignment="0" applyProtection="0"/>
    <xf numFmtId="38" fontId="202" fillId="0" borderId="0" applyFont="0" applyFill="0" applyBorder="0" applyAlignment="0" applyProtection="0"/>
    <xf numFmtId="0" fontId="203" fillId="0" borderId="71" applyNumberFormat="0" applyFill="0" applyAlignment="0" applyProtection="0"/>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07" fillId="0" borderId="0">
      <alignment horizontal="right"/>
    </xf>
    <xf numFmtId="0" fontId="208" fillId="0" borderId="0" applyNumberFormat="0" applyFill="0" applyBorder="0" applyAlignment="0" applyProtection="0">
      <alignment vertical="top"/>
      <protection locked="0"/>
    </xf>
    <xf numFmtId="0" fontId="39" fillId="51" borderId="0" applyNumberFormat="0" applyBorder="0" applyAlignment="0" applyProtection="0">
      <alignment vertical="center"/>
    </xf>
    <xf numFmtId="0" fontId="209" fillId="51" borderId="0" applyNumberFormat="0" applyBorder="0" applyAlignment="0" applyProtection="0">
      <alignment vertical="center"/>
    </xf>
    <xf numFmtId="0" fontId="197" fillId="50" borderId="0" applyNumberFormat="0" applyBorder="0" applyAlignment="0" applyProtection="0">
      <alignment vertical="center"/>
    </xf>
    <xf numFmtId="0" fontId="210" fillId="50" borderId="0" applyNumberFormat="0" applyBorder="0" applyAlignment="0" applyProtection="0">
      <alignment vertical="center"/>
    </xf>
    <xf numFmtId="0" fontId="17" fillId="0" borderId="0"/>
    <xf numFmtId="0" fontId="17" fillId="0" borderId="0"/>
    <xf numFmtId="0" fontId="211" fillId="0" borderId="75" applyNumberFormat="0" applyFill="0" applyAlignment="0" applyProtection="0">
      <alignment vertical="center"/>
    </xf>
    <xf numFmtId="0" fontId="212" fillId="71" borderId="69" applyNumberFormat="0" applyAlignment="0" applyProtection="0">
      <alignment vertical="center"/>
    </xf>
    <xf numFmtId="0" fontId="99" fillId="0" borderId="0"/>
    <xf numFmtId="0" fontId="43" fillId="0" borderId="0"/>
    <xf numFmtId="230" fontId="25" fillId="0" borderId="0"/>
    <xf numFmtId="193" fontId="19" fillId="0" borderId="0">
      <alignment wrapText="1"/>
      <protection locked="0"/>
    </xf>
    <xf numFmtId="231" fontId="19" fillId="0" borderId="0">
      <alignment wrapText="1"/>
    </xf>
    <xf numFmtId="232" fontId="19" fillId="0" borderId="0">
      <alignment wrapText="1"/>
    </xf>
    <xf numFmtId="233" fontId="213" fillId="0" borderId="0" applyFill="0" applyBorder="0"/>
    <xf numFmtId="0" fontId="22" fillId="0" borderId="0" applyNumberFormat="0" applyFont="0" applyFill="0" applyBorder="0">
      <alignment horizontal="left" vertical="top" wrapText="1"/>
    </xf>
    <xf numFmtId="0" fontId="199" fillId="0" borderId="0" applyNumberFormat="0" applyFill="0" applyBorder="0" applyAlignment="0" applyProtection="0">
      <alignment vertical="center"/>
    </xf>
    <xf numFmtId="0" fontId="214" fillId="46" borderId="68" applyNumberFormat="0" applyFont="0" applyAlignment="0" applyProtection="0">
      <alignment vertical="center"/>
    </xf>
    <xf numFmtId="49" fontId="28" fillId="0" borderId="0" applyNumberFormat="0" applyBorder="0">
      <alignment horizontal="center" vertical="center"/>
    </xf>
    <xf numFmtId="0" fontId="101" fillId="0" borderId="0" applyNumberFormat="0" applyFill="0" applyBorder="0" applyAlignment="0" applyProtection="0">
      <alignment vertical="top"/>
      <protection locked="0"/>
    </xf>
    <xf numFmtId="0" fontId="17" fillId="0" borderId="0" applyFill="0" applyBorder="0" applyAlignment="0" applyProtection="0"/>
    <xf numFmtId="0" fontId="17" fillId="0" borderId="0" applyFill="0" applyBorder="0" applyAlignment="0" applyProtection="0"/>
    <xf numFmtId="0" fontId="78"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28" fillId="0" borderId="76">
      <alignment vertical="center"/>
      <protection locked="0"/>
    </xf>
    <xf numFmtId="0" fontId="40" fillId="47" borderId="63" applyNumberFormat="0" applyAlignment="0" applyProtection="0">
      <alignment vertical="center"/>
    </xf>
    <xf numFmtId="0" fontId="25" fillId="0" borderId="0"/>
    <xf numFmtId="0" fontId="99" fillId="0" borderId="0"/>
    <xf numFmtId="0" fontId="94" fillId="0" borderId="0"/>
    <xf numFmtId="0" fontId="36" fillId="0" borderId="0">
      <alignment vertical="center"/>
    </xf>
    <xf numFmtId="0" fontId="13"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6" fillId="0" borderId="0">
      <alignment vertical="center"/>
    </xf>
    <xf numFmtId="0" fontId="10" fillId="0" borderId="0">
      <alignment vertical="center"/>
    </xf>
    <xf numFmtId="0" fontId="159" fillId="0" borderId="0" applyBorder="0"/>
    <xf numFmtId="0" fontId="25" fillId="0" borderId="0"/>
    <xf numFmtId="0" fontId="59" fillId="0" borderId="0"/>
    <xf numFmtId="0" fontId="215" fillId="0" borderId="0" applyNumberFormat="0" applyFill="0" applyBorder="0" applyAlignment="0" applyProtection="0"/>
    <xf numFmtId="0" fontId="53" fillId="0" borderId="0" applyNumberFormat="0" applyFill="0" applyBorder="0" applyAlignment="0" applyProtection="0">
      <alignment vertical="top"/>
      <protection locked="0"/>
    </xf>
    <xf numFmtId="0" fontId="116" fillId="0" borderId="0" applyNumberFormat="0" applyFill="0" applyBorder="0" applyAlignment="0" applyProtection="0"/>
    <xf numFmtId="0" fontId="116" fillId="0" borderId="0" applyNumberFormat="0" applyFill="0" applyBorder="0" applyAlignment="0" applyProtection="0"/>
    <xf numFmtId="0" fontId="216" fillId="0" borderId="0" applyNumberFormat="0" applyFill="0" applyBorder="0" applyAlignment="0" applyProtection="0">
      <alignment vertical="top"/>
      <protection locked="0"/>
    </xf>
    <xf numFmtId="0" fontId="128" fillId="0" borderId="0" applyNumberFormat="0" applyFill="0" applyBorder="0" applyAlignment="0" applyProtection="0"/>
    <xf numFmtId="0" fontId="39" fillId="51" borderId="0" applyNumberFormat="0" applyBorder="0" applyAlignment="0" applyProtection="0">
      <alignment vertical="center"/>
    </xf>
    <xf numFmtId="0" fontId="25" fillId="0" borderId="0"/>
    <xf numFmtId="0" fontId="51" fillId="0" borderId="15"/>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185" fillId="0" borderId="0" applyNumberFormat="0" applyFill="0" applyBorder="0" applyAlignment="0" applyProtection="0">
      <alignment vertical="center"/>
    </xf>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186" fillId="65" borderId="64" applyNumberFormat="0" applyAlignment="0" applyProtection="0">
      <alignment vertical="center"/>
    </xf>
    <xf numFmtId="0" fontId="211" fillId="0" borderId="75" applyNumberFormat="0" applyFill="0" applyAlignment="0" applyProtection="0">
      <alignment vertical="center"/>
    </xf>
    <xf numFmtId="0" fontId="11" fillId="0" borderId="0"/>
    <xf numFmtId="0" fontId="11" fillId="0" borderId="0"/>
    <xf numFmtId="0" fontId="200" fillId="71" borderId="63" applyNumberFormat="0" applyAlignment="0" applyProtection="0">
      <alignment vertical="center"/>
    </xf>
    <xf numFmtId="0" fontId="212" fillId="71" borderId="69" applyNumberFormat="0" applyAlignment="0" applyProtection="0">
      <alignment vertical="center"/>
    </xf>
    <xf numFmtId="0" fontId="40" fillId="47" borderId="63" applyNumberFormat="0" applyAlignment="0" applyProtection="0">
      <alignment vertical="center"/>
    </xf>
    <xf numFmtId="0" fontId="187" fillId="53" borderId="0" applyNumberFormat="0" applyBorder="0" applyAlignment="0" applyProtection="0">
      <alignment vertical="center"/>
    </xf>
    <xf numFmtId="0" fontId="193" fillId="0" borderId="70" applyNumberFormat="0" applyFill="0" applyAlignment="0" applyProtection="0">
      <alignment vertical="center"/>
    </xf>
    <xf numFmtId="0" fontId="28" fillId="0" borderId="0"/>
    <xf numFmtId="179" fontId="25" fillId="0" borderId="13" applyFill="0" applyProtection="0">
      <alignment horizontal="right"/>
    </xf>
    <xf numFmtId="0" fontId="14" fillId="0" borderId="0"/>
    <xf numFmtId="176" fontId="220" fillId="0" borderId="52"/>
    <xf numFmtId="0" fontId="218" fillId="0" borderId="0"/>
    <xf numFmtId="0" fontId="221" fillId="0" borderId="0"/>
    <xf numFmtId="0" fontId="25" fillId="0" borderId="0"/>
    <xf numFmtId="193" fontId="25" fillId="0" borderId="13" applyFill="0" applyProtection="0">
      <alignment horizontal="right"/>
    </xf>
    <xf numFmtId="179" fontId="218" fillId="0" borderId="13" applyFill="0" applyProtection="0">
      <alignment horizontal="right"/>
    </xf>
    <xf numFmtId="193" fontId="25" fillId="0" borderId="13" applyFill="0" applyProtection="0">
      <alignment horizontal="right"/>
    </xf>
    <xf numFmtId="193" fontId="25" fillId="0" borderId="13" applyFill="0" applyProtection="0">
      <alignment horizontal="right"/>
    </xf>
    <xf numFmtId="179" fontId="218" fillId="0" borderId="13" applyFill="0" applyProtection="0">
      <alignment horizontal="right"/>
    </xf>
    <xf numFmtId="193" fontId="25"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200" fontId="25" fillId="0" borderId="13" applyFill="0" applyProtection="0">
      <alignment horizontal="right"/>
    </xf>
    <xf numFmtId="0" fontId="11" fillId="0" borderId="16" applyNumberFormat="0" applyFont="0" applyFill="0" applyBorder="0" applyAlignment="0">
      <alignment vertical="center"/>
    </xf>
    <xf numFmtId="0" fontId="226" fillId="14" borderId="0" applyNumberFormat="0" applyBorder="0" applyAlignment="0" applyProtection="0">
      <alignment vertical="center"/>
    </xf>
    <xf numFmtId="0" fontId="226" fillId="18" borderId="0" applyNumberFormat="0" applyBorder="0" applyAlignment="0" applyProtection="0">
      <alignment vertical="center"/>
    </xf>
    <xf numFmtId="0" fontId="226" fillId="22" borderId="0" applyNumberFormat="0" applyBorder="0" applyAlignment="0" applyProtection="0">
      <alignment vertical="center"/>
    </xf>
    <xf numFmtId="0" fontId="226" fillId="26" borderId="0" applyNumberFormat="0" applyBorder="0" applyAlignment="0" applyProtection="0">
      <alignment vertical="center"/>
    </xf>
    <xf numFmtId="0" fontId="226" fillId="30" borderId="0" applyNumberFormat="0" applyBorder="0" applyAlignment="0" applyProtection="0">
      <alignment vertical="center"/>
    </xf>
    <xf numFmtId="0" fontId="226" fillId="34" borderId="0" applyNumberFormat="0" applyBorder="0" applyAlignment="0" applyProtection="0">
      <alignment vertical="center"/>
    </xf>
    <xf numFmtId="0" fontId="226" fillId="15" borderId="0" applyNumberFormat="0" applyBorder="0" applyAlignment="0" applyProtection="0">
      <alignment vertical="center"/>
    </xf>
    <xf numFmtId="0" fontId="226" fillId="19" borderId="0" applyNumberFormat="0" applyBorder="0" applyAlignment="0" applyProtection="0">
      <alignment vertical="center"/>
    </xf>
    <xf numFmtId="0" fontId="226" fillId="23" borderId="0" applyNumberFormat="0" applyBorder="0" applyAlignment="0" applyProtection="0">
      <alignment vertical="center"/>
    </xf>
    <xf numFmtId="0" fontId="226" fillId="27" borderId="0" applyNumberFormat="0" applyBorder="0" applyAlignment="0" applyProtection="0">
      <alignment vertical="center"/>
    </xf>
    <xf numFmtId="0" fontId="226" fillId="31" borderId="0" applyNumberFormat="0" applyBorder="0" applyAlignment="0" applyProtection="0">
      <alignment vertical="center"/>
    </xf>
    <xf numFmtId="0" fontId="226" fillId="35" borderId="0" applyNumberFormat="0" applyBorder="0" applyAlignment="0" applyProtection="0">
      <alignment vertical="center"/>
    </xf>
    <xf numFmtId="0" fontId="227" fillId="16" borderId="0" applyNumberFormat="0" applyBorder="0" applyAlignment="0" applyProtection="0">
      <alignment vertical="center"/>
    </xf>
    <xf numFmtId="0" fontId="227" fillId="20" borderId="0" applyNumberFormat="0" applyBorder="0" applyAlignment="0" applyProtection="0">
      <alignment vertical="center"/>
    </xf>
    <xf numFmtId="0" fontId="227" fillId="24" borderId="0" applyNumberFormat="0" applyBorder="0" applyAlignment="0" applyProtection="0">
      <alignment vertical="center"/>
    </xf>
    <xf numFmtId="0" fontId="227" fillId="28" borderId="0" applyNumberFormat="0" applyBorder="0" applyAlignment="0" applyProtection="0">
      <alignment vertical="center"/>
    </xf>
    <xf numFmtId="0" fontId="227" fillId="32" borderId="0" applyNumberFormat="0" applyBorder="0" applyAlignment="0" applyProtection="0">
      <alignment vertical="center"/>
    </xf>
    <xf numFmtId="0" fontId="227" fillId="36" borderId="0" applyNumberFormat="0" applyBorder="0" applyAlignment="0" applyProtection="0">
      <alignment vertical="center"/>
    </xf>
    <xf numFmtId="0" fontId="222" fillId="2" borderId="0"/>
    <xf numFmtId="0" fontId="218" fillId="0" borderId="0"/>
    <xf numFmtId="172" fontId="28" fillId="0" borderId="0" applyFill="0" applyBorder="0" applyAlignment="0"/>
    <xf numFmtId="38" fontId="19" fillId="0" borderId="0" applyFont="0" applyFill="0" applyBorder="0" applyAlignment="0" applyProtection="0"/>
    <xf numFmtId="171" fontId="19" fillId="0" borderId="0" applyFont="0" applyFill="0" applyBorder="0" applyAlignment="0" applyProtection="0"/>
    <xf numFmtId="0" fontId="21" fillId="0" borderId="0" applyNumberFormat="0" applyFill="0" applyBorder="0" applyAlignment="0" applyProtection="0">
      <alignment vertical="top"/>
      <protection locked="0"/>
    </xf>
    <xf numFmtId="38" fontId="223" fillId="3" borderId="0" applyNumberFormat="0" applyBorder="0" applyAlignment="0" applyProtection="0"/>
    <xf numFmtId="0" fontId="20" fillId="0" borderId="42" applyNumberFormat="0" applyAlignment="0" applyProtection="0">
      <alignment horizontal="left" vertical="center"/>
    </xf>
    <xf numFmtId="0" fontId="20" fillId="0" borderId="8">
      <alignment horizontal="left" vertical="center"/>
    </xf>
    <xf numFmtId="0" fontId="23" fillId="0" borderId="0" applyNumberFormat="0" applyFill="0" applyBorder="0" applyAlignment="0" applyProtection="0">
      <alignment vertical="top"/>
      <protection locked="0"/>
    </xf>
    <xf numFmtId="10" fontId="223" fillId="4" borderId="2" applyNumberFormat="0" applyBorder="0" applyAlignment="0" applyProtection="0"/>
    <xf numFmtId="0" fontId="188" fillId="39" borderId="0">
      <alignment horizontal="left"/>
    </xf>
    <xf numFmtId="235" fontId="218" fillId="0" borderId="0"/>
    <xf numFmtId="10" fontId="24" fillId="0" borderId="0" applyFont="0" applyFill="0" applyBorder="0" applyAlignment="0" applyProtection="0"/>
    <xf numFmtId="0" fontId="77" fillId="0" borderId="0">
      <alignment horizontal="right"/>
    </xf>
    <xf numFmtId="0" fontId="80" fillId="0" borderId="0"/>
    <xf numFmtId="0" fontId="227" fillId="13" borderId="0" applyNumberFormat="0" applyBorder="0" applyAlignment="0" applyProtection="0">
      <alignment vertical="center"/>
    </xf>
    <xf numFmtId="0" fontId="227" fillId="17" borderId="0" applyNumberFormat="0" applyBorder="0" applyAlignment="0" applyProtection="0">
      <alignment vertical="center"/>
    </xf>
    <xf numFmtId="0" fontId="227" fillId="21" borderId="0" applyNumberFormat="0" applyBorder="0" applyAlignment="0" applyProtection="0">
      <alignment vertical="center"/>
    </xf>
    <xf numFmtId="0" fontId="227" fillId="25" borderId="0" applyNumberFormat="0" applyBorder="0" applyAlignment="0" applyProtection="0">
      <alignment vertical="center"/>
    </xf>
    <xf numFmtId="0" fontId="227" fillId="29" borderId="0" applyNumberFormat="0" applyBorder="0" applyAlignment="0" applyProtection="0">
      <alignment vertical="center"/>
    </xf>
    <xf numFmtId="0" fontId="227" fillId="33" borderId="0" applyNumberFormat="0" applyBorder="0" applyAlignment="0" applyProtection="0">
      <alignment vertical="center"/>
    </xf>
    <xf numFmtId="0" fontId="218" fillId="40" borderId="0"/>
    <xf numFmtId="0" fontId="228" fillId="0" borderId="0" applyNumberFormat="0" applyFill="0" applyBorder="0" applyAlignment="0" applyProtection="0">
      <alignment vertical="center"/>
    </xf>
    <xf numFmtId="0" fontId="229" fillId="11" borderId="49" applyNumberFormat="0" applyAlignment="0" applyProtection="0">
      <alignment vertical="center"/>
    </xf>
    <xf numFmtId="0" fontId="218" fillId="0" borderId="0"/>
    <xf numFmtId="0" fontId="230" fillId="8" borderId="0" applyNumberFormat="0" applyBorder="0" applyAlignment="0" applyProtection="0">
      <alignment vertical="center"/>
    </xf>
    <xf numFmtId="170" fontId="222" fillId="0" borderId="2"/>
    <xf numFmtId="170" fontId="218" fillId="0" borderId="0" applyFont="0" applyFill="0" applyBorder="0" applyAlignment="0" applyProtection="0"/>
    <xf numFmtId="0" fontId="218" fillId="0" borderId="0"/>
    <xf numFmtId="0" fontId="218" fillId="0" borderId="0"/>
    <xf numFmtId="0" fontId="170" fillId="12" borderId="50" applyNumberFormat="0" applyFont="0" applyAlignment="0" applyProtection="0">
      <alignment vertical="center"/>
    </xf>
    <xf numFmtId="0" fontId="231" fillId="0" borderId="48" applyNumberFormat="0" applyFill="0" applyAlignment="0" applyProtection="0">
      <alignment vertical="center"/>
    </xf>
    <xf numFmtId="0" fontId="25" fillId="0" borderId="0"/>
    <xf numFmtId="0" fontId="232" fillId="7" borderId="0" applyNumberFormat="0" applyBorder="0" applyAlignment="0" applyProtection="0">
      <alignment vertical="center"/>
    </xf>
    <xf numFmtId="0" fontId="31" fillId="0" borderId="0">
      <alignment vertical="center"/>
    </xf>
    <xf numFmtId="0" fontId="233" fillId="10" borderId="46" applyNumberFormat="0" applyAlignment="0" applyProtection="0">
      <alignment vertical="center"/>
    </xf>
    <xf numFmtId="0" fontId="234" fillId="0" borderId="0" applyNumberFormat="0" applyFill="0" applyBorder="0" applyAlignment="0" applyProtection="0">
      <alignment vertical="center"/>
    </xf>
    <xf numFmtId="40" fontId="25" fillId="0" borderId="0" applyFont="0" applyFill="0" applyBorder="0" applyAlignment="0" applyProtection="0"/>
    <xf numFmtId="169" fontId="17" fillId="0" borderId="0" applyFont="0" applyFill="0" applyBorder="0" applyAlignment="0" applyProtection="0"/>
    <xf numFmtId="0" fontId="224" fillId="0" borderId="0"/>
    <xf numFmtId="0" fontId="235" fillId="0" borderId="43" applyNumberFormat="0" applyFill="0" applyAlignment="0" applyProtection="0">
      <alignment vertical="center"/>
    </xf>
    <xf numFmtId="0" fontId="236" fillId="0" borderId="44" applyNumberFormat="0" applyFill="0" applyAlignment="0" applyProtection="0">
      <alignment vertical="center"/>
    </xf>
    <xf numFmtId="0" fontId="237" fillId="0" borderId="45" applyNumberFormat="0" applyFill="0" applyAlignment="0" applyProtection="0">
      <alignment vertical="center"/>
    </xf>
    <xf numFmtId="0" fontId="237" fillId="0" borderId="0" applyNumberFormat="0" applyFill="0" applyBorder="0" applyAlignment="0" applyProtection="0">
      <alignment vertical="center"/>
    </xf>
    <xf numFmtId="0" fontId="25" fillId="0" borderId="0" applyFont="0" applyBorder="0" applyAlignment="0"/>
    <xf numFmtId="0" fontId="25" fillId="0" borderId="0"/>
    <xf numFmtId="0" fontId="238" fillId="0" borderId="51" applyNumberFormat="0" applyFill="0" applyAlignment="0" applyProtection="0">
      <alignment vertical="center"/>
    </xf>
    <xf numFmtId="0" fontId="239" fillId="10" borderId="47" applyNumberFormat="0" applyAlignment="0" applyProtection="0">
      <alignment vertical="center"/>
    </xf>
    <xf numFmtId="0" fontId="225" fillId="0" borderId="0"/>
    <xf numFmtId="0" fontId="219" fillId="0" borderId="0">
      <alignment vertical="center"/>
    </xf>
    <xf numFmtId="0" fontId="240" fillId="0" borderId="0" applyNumberFormat="0" applyFill="0" applyBorder="0" applyAlignment="0" applyProtection="0">
      <alignment vertical="center"/>
    </xf>
    <xf numFmtId="167" fontId="14" fillId="0" borderId="0" applyFont="0" applyFill="0" applyBorder="0" applyAlignment="0" applyProtection="0"/>
    <xf numFmtId="0" fontId="241" fillId="9" borderId="46" applyNumberFormat="0" applyAlignment="0" applyProtection="0">
      <alignment vertical="center"/>
    </xf>
    <xf numFmtId="0" fontId="222" fillId="38" borderId="0" applyNumberFormat="0" applyFont="0" applyBorder="0" applyAlignment="0" applyProtection="0">
      <alignment horizontal="center"/>
      <protection locked="0"/>
    </xf>
    <xf numFmtId="0" fontId="25" fillId="0" borderId="0"/>
    <xf numFmtId="0" fontId="226" fillId="0" borderId="0">
      <alignment vertical="center"/>
    </xf>
    <xf numFmtId="0" fontId="83" fillId="0" borderId="0">
      <alignment vertical="center"/>
    </xf>
    <xf numFmtId="49" fontId="218" fillId="0" borderId="55" applyBorder="0"/>
    <xf numFmtId="0" fontId="27" fillId="0" borderId="0"/>
    <xf numFmtId="0" fontId="242" fillId="6" borderId="0" applyNumberFormat="0" applyBorder="0" applyAlignment="0" applyProtection="0">
      <alignment vertical="center"/>
    </xf>
    <xf numFmtId="0" fontId="218" fillId="0" borderId="0"/>
    <xf numFmtId="0" fontId="38" fillId="0" borderId="0"/>
    <xf numFmtId="0" fontId="11" fillId="0" borderId="16" applyNumberFormat="0" applyFont="0" applyFill="0" applyBorder="0" applyAlignment="0">
      <alignment vertical="center"/>
    </xf>
    <xf numFmtId="167" fontId="14" fillId="0" borderId="0" applyFont="0" applyFill="0" applyBorder="0" applyAlignment="0" applyProtection="0"/>
    <xf numFmtId="0" fontId="243" fillId="0" borderId="0"/>
    <xf numFmtId="49" fontId="25" fillId="0" borderId="0"/>
    <xf numFmtId="49" fontId="25" fillId="0" borderId="0"/>
    <xf numFmtId="49" fontId="25" fillId="0" borderId="0"/>
    <xf numFmtId="49" fontId="25" fillId="0" borderId="0"/>
    <xf numFmtId="49" fontId="25" fillId="0" borderId="0"/>
    <xf numFmtId="49" fontId="25" fillId="0" borderId="0"/>
    <xf numFmtId="49" fontId="25" fillId="0" borderId="0"/>
    <xf numFmtId="0" fontId="244" fillId="0" borderId="56">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58">
      <alignment horizontal="left" vertical="center"/>
    </xf>
    <xf numFmtId="0" fontId="16" fillId="0" borderId="0"/>
    <xf numFmtId="0" fontId="16" fillId="0" borderId="0"/>
    <xf numFmtId="0" fontId="16" fillId="0" borderId="0"/>
    <xf numFmtId="0" fontId="16" fillId="0" borderId="0"/>
    <xf numFmtId="0" fontId="16" fillId="0" borderId="0"/>
    <xf numFmtId="0" fontId="16" fillId="0" borderId="0"/>
    <xf numFmtId="0" fontId="21" fillId="0" borderId="0"/>
    <xf numFmtId="0" fontId="21" fillId="0" borderId="0"/>
    <xf numFmtId="0" fontId="21" fillId="0" borderId="0"/>
    <xf numFmtId="0" fontId="137" fillId="0" borderId="0"/>
    <xf numFmtId="0" fontId="21" fillId="0" borderId="0"/>
    <xf numFmtId="0" fontId="21" fillId="0" borderId="0"/>
    <xf numFmtId="0" fontId="21" fillId="0" borderId="0"/>
    <xf numFmtId="0" fontId="137" fillId="0" borderId="0"/>
    <xf numFmtId="0" fontId="21" fillId="0" borderId="0"/>
    <xf numFmtId="0" fontId="21" fillId="0" borderId="0"/>
    <xf numFmtId="0" fontId="137" fillId="0" borderId="0"/>
    <xf numFmtId="0" fontId="137" fillId="0" borderId="0"/>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4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7"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61" fillId="0" borderId="0"/>
    <xf numFmtId="0" fontId="61" fillId="0" borderId="0"/>
    <xf numFmtId="0" fontId="246" fillId="0" borderId="11"/>
    <xf numFmtId="0" fontId="246" fillId="0" borderId="11"/>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49" fontId="22" fillId="0" borderId="58"/>
    <xf numFmtId="4" fontId="249" fillId="72" borderId="0" applyNumberFormat="0" applyBorder="0" applyAlignment="0" applyProtection="0">
      <alignment horizontal="left"/>
    </xf>
    <xf numFmtId="49" fontId="22" fillId="0" borderId="58"/>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0" fontId="161" fillId="39" borderId="63" applyNumberFormat="0" applyAlignment="0" applyProtection="0"/>
    <xf numFmtId="38" fontId="21" fillId="0" borderId="0" applyFont="0" applyFill="0" applyBorder="0" applyAlignment="0" applyProtection="0"/>
    <xf numFmtId="38" fontId="21"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7" fontId="21" fillId="0" borderId="0" applyFont="0" applyFill="0" applyBorder="0" applyAlignment="0" applyProtection="0"/>
    <xf numFmtId="0" fontId="19" fillId="0" borderId="0" applyBorder="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0" fontId="138"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0" fontId="22" fillId="46" borderId="68" applyNumberFormat="0" applyFont="0" applyAlignment="0" applyProtection="0"/>
    <xf numFmtId="0" fontId="250" fillId="0" borderId="0"/>
    <xf numFmtId="0" fontId="19" fillId="0" borderId="0"/>
    <xf numFmtId="0" fontId="179" fillId="39" borderId="69" applyNumberFormat="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37" fontId="165" fillId="0" borderId="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17" fillId="37" borderId="7"/>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36" fillId="0" borderId="0" applyFont="0" applyFill="0" applyBorder="0" applyAlignment="0" applyProtection="0">
      <alignment vertical="center"/>
    </xf>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9" fillId="0" borderId="2"/>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188" fillId="0" borderId="0" applyNumberFormat="0" applyFill="0" applyBorder="0" applyAlignment="0" applyProtection="0">
      <alignment vertical="top"/>
      <protection locked="0"/>
    </xf>
    <xf numFmtId="0" fontId="252" fillId="0" borderId="0" applyNumberForma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8">
      <alignment horizontal="left" vertical="center"/>
    </xf>
    <xf numFmtId="239" fontId="213" fillId="0" borderId="0" applyBorder="0">
      <alignment horizontal="right"/>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4" fillId="0" borderId="0"/>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39" fillId="48"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97" fillId="52"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1"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7" fillId="0" borderId="0"/>
    <xf numFmtId="240" fontId="213" fillId="0" borderId="0" applyBorder="0">
      <alignment horizontal="left"/>
    </xf>
    <xf numFmtId="239" fontId="213" fillId="0" borderId="0" applyFill="0" applyBorder="0"/>
    <xf numFmtId="233" fontId="213" fillId="0" borderId="0" applyFill="0" applyBorder="0"/>
    <xf numFmtId="49" fontId="213" fillId="37" borderId="77">
      <alignment horizontal="center"/>
    </xf>
    <xf numFmtId="193" fontId="213" fillId="37" borderId="77">
      <alignment horizontal="right"/>
    </xf>
    <xf numFmtId="14" fontId="213" fillId="37" borderId="0" applyBorder="0">
      <alignment horizontal="center"/>
    </xf>
    <xf numFmtId="49" fontId="213" fillId="0" borderId="77"/>
    <xf numFmtId="0" fontId="14" fillId="0" borderId="0" applyFont="0" applyFill="0" applyBorder="0" applyAlignment="0" applyProtection="0"/>
    <xf numFmtId="0" fontId="14" fillId="0" borderId="0" applyFont="0" applyFill="0" applyBorder="0" applyAlignment="0" applyProtection="0"/>
    <xf numFmtId="40" fontId="11" fillId="0" borderId="0" applyFont="0" applyFill="0" applyBorder="0" applyAlignment="0" applyProtection="0"/>
    <xf numFmtId="38" fontId="257" fillId="0" borderId="0" applyFont="0" applyFill="0" applyBorder="0" applyAlignment="0" applyProtection="0"/>
    <xf numFmtId="40" fontId="257" fillId="0" borderId="0" applyFont="0" applyFill="0" applyBorder="0" applyAlignment="0" applyProtection="0"/>
    <xf numFmtId="0" fontId="258" fillId="0" borderId="0">
      <alignment vertical="top"/>
    </xf>
    <xf numFmtId="0" fontId="259" fillId="0" borderId="0"/>
    <xf numFmtId="0" fontId="214" fillId="46" borderId="68" applyNumberFormat="0" applyFont="0" applyAlignment="0" applyProtection="0">
      <alignment vertical="center"/>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1" fillId="0" borderId="0" applyNumberFormat="0" applyFill="0" applyBorder="0" applyAlignment="0" applyProtection="0">
      <alignment vertical="top"/>
      <protection locked="0"/>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4" fontId="213" fillId="0" borderId="0" applyFill="0" applyBorder="0"/>
    <xf numFmtId="0" fontId="11" fillId="0" borderId="0">
      <alignment vertical="center"/>
    </xf>
    <xf numFmtId="0" fontId="36" fillId="0" borderId="0">
      <alignment vertical="center"/>
    </xf>
    <xf numFmtId="0" fontId="11" fillId="0" borderId="0"/>
    <xf numFmtId="0" fontId="11" fillId="0" borderId="0"/>
    <xf numFmtId="0" fontId="11" fillId="0" borderId="0"/>
    <xf numFmtId="0" fontId="13" fillId="0" borderId="0"/>
    <xf numFmtId="0" fontId="13" fillId="0" borderId="0"/>
    <xf numFmtId="0" fontId="11" fillId="0" borderId="0">
      <alignment vertical="center"/>
    </xf>
    <xf numFmtId="0" fontId="11" fillId="0" borderId="0">
      <alignment vertical="center"/>
    </xf>
    <xf numFmtId="0" fontId="25" fillId="0" borderId="0"/>
    <xf numFmtId="0" fontId="36"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0" fillId="0" borderId="0" applyNumberFormat="0" applyFill="0" applyBorder="0" applyAlignment="0" applyProtection="0">
      <alignment vertical="top"/>
      <protection locked="0"/>
    </xf>
    <xf numFmtId="0" fontId="262" fillId="0" borderId="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13" fillId="0" borderId="0" applyFill="0" applyBorder="0"/>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169" fontId="225" fillId="0" borderId="0" applyFont="0" applyFill="0" applyBorder="0" applyAlignment="0" applyProtection="0"/>
    <xf numFmtId="38" fontId="264" fillId="0" borderId="0" applyFont="0" applyFill="0" applyBorder="0" applyAlignment="0" applyProtection="0"/>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194" fontId="225" fillId="0" borderId="0" applyFont="0" applyFill="0" applyBorder="0" applyAlignment="0" applyProtection="0"/>
    <xf numFmtId="234" fontId="225" fillId="0" borderId="0" applyFont="0" applyFill="0" applyBorder="0" applyAlignment="0" applyProtection="0"/>
    <xf numFmtId="0" fontId="264" fillId="0" borderId="0"/>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 fillId="0" borderId="0"/>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11" fillId="0" borderId="75" applyNumberFormat="0" applyFill="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00" fillId="71" borderId="63" applyNumberFormat="0" applyAlignment="0" applyProtection="0">
      <alignment vertical="center"/>
    </xf>
    <xf numFmtId="241" fontId="17" fillId="0" borderId="0" applyFill="0" applyBorder="0" applyAlignment="0" applyProtection="0"/>
    <xf numFmtId="165" fontId="17" fillId="0" borderId="0" applyFont="0" applyFill="0" applyBorder="0" applyAlignment="0" applyProtection="0"/>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12" fillId="71" borderId="69"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40" fillId="47" borderId="63" applyNumberFormat="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18" fillId="0" borderId="0"/>
    <xf numFmtId="0" fontId="218" fillId="0" borderId="0"/>
    <xf numFmtId="0" fontId="218" fillId="0" borderId="0"/>
    <xf numFmtId="0" fontId="218" fillId="0" borderId="0"/>
    <xf numFmtId="0" fontId="41" fillId="0" borderId="0"/>
    <xf numFmtId="193" fontId="41"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93" fontId="41" fillId="0" borderId="13" applyFill="0" applyProtection="0">
      <alignment horizontal="right"/>
    </xf>
    <xf numFmtId="193" fontId="41"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93" fontId="41"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200" fontId="41" fillId="0" borderId="13" applyFill="0" applyProtection="0">
      <alignment horizontal="right"/>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218" fillId="0" borderId="0"/>
    <xf numFmtId="0" fontId="218" fillId="0" borderId="0"/>
    <xf numFmtId="0" fontId="218" fillId="0" borderId="0"/>
    <xf numFmtId="0" fontId="218" fillId="0" borderId="0"/>
    <xf numFmtId="235" fontId="218" fillId="0" borderId="0"/>
    <xf numFmtId="235" fontId="218" fillId="0" borderId="0"/>
    <xf numFmtId="235" fontId="218" fillId="0" borderId="0"/>
    <xf numFmtId="235" fontId="218" fillId="0" borderId="0"/>
    <xf numFmtId="0" fontId="207" fillId="0" borderId="0">
      <alignment horizontal="right"/>
    </xf>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41" fillId="0" borderId="0"/>
    <xf numFmtId="40" fontId="11" fillId="0" borderId="0" applyFont="0" applyFill="0" applyBorder="0" applyAlignment="0" applyProtection="0"/>
    <xf numFmtId="40" fontId="41" fillId="0" borderId="0" applyFont="0" applyFill="0" applyBorder="0" applyAlignment="0" applyProtection="0"/>
    <xf numFmtId="169" fontId="17" fillId="0" borderId="0" applyFont="0" applyFill="0" applyBorder="0" applyAlignment="0" applyProtection="0"/>
    <xf numFmtId="40" fontId="11"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41" fontId="275" fillId="0" borderId="0" applyFont="0" applyFill="0" applyBorder="0" applyAlignment="0" applyProtection="0">
      <alignment vertical="center"/>
    </xf>
    <xf numFmtId="41" fontId="275" fillId="0" borderId="0" applyFont="0" applyFill="0" applyBorder="0" applyAlignment="0" applyProtection="0">
      <alignment vertical="center"/>
    </xf>
    <xf numFmtId="41" fontId="219" fillId="0" borderId="0" applyFont="0" applyFill="0" applyBorder="0" applyAlignment="0" applyProtection="0">
      <alignment vertical="center"/>
    </xf>
    <xf numFmtId="0" fontId="93" fillId="0" borderId="0"/>
    <xf numFmtId="0" fontId="41" fillId="0" borderId="0" applyFont="0" applyBorder="0" applyAlignment="0"/>
    <xf numFmtId="0" fontId="41" fillId="0" borderId="0"/>
    <xf numFmtId="0" fontId="14" fillId="0" borderId="0"/>
    <xf numFmtId="0" fontId="243" fillId="0" borderId="0"/>
    <xf numFmtId="0" fontId="14" fillId="0" borderId="0"/>
    <xf numFmtId="0" fontId="14" fillId="0" borderId="0"/>
    <xf numFmtId="0" fontId="10" fillId="0" borderId="0"/>
    <xf numFmtId="0" fontId="41" fillId="0" borderId="0"/>
    <xf numFmtId="0" fontId="14" fillId="0" borderId="0"/>
    <xf numFmtId="0" fontId="275" fillId="0" borderId="0"/>
    <xf numFmtId="0" fontId="219"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38" fontId="17" fillId="0" borderId="0" applyFont="0" applyFill="0" applyBorder="0" applyAlignment="0" applyProtection="0"/>
    <xf numFmtId="40" fontId="17" fillId="0" borderId="0" applyFont="0" applyFill="0" applyBorder="0" applyAlignment="0" applyProtection="0"/>
    <xf numFmtId="0" fontId="24" fillId="0" borderId="8">
      <alignment horizontal="left" vertical="center"/>
    </xf>
    <xf numFmtId="10" fontId="23" fillId="4" borderId="2" applyNumberFormat="0" applyBorder="0" applyAlignment="0" applyProtection="0"/>
    <xf numFmtId="0" fontId="19" fillId="0" borderId="2"/>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0" fontId="17" fillId="41" borderId="2">
      <alignment horizontal="centerContinuous"/>
    </xf>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0" fontId="20" fillId="0" borderId="8">
      <alignment horizontal="left" vertical="center"/>
    </xf>
    <xf numFmtId="10" fontId="223" fillId="4" borderId="2" applyNumberFormat="0" applyBorder="0" applyAlignment="0" applyProtection="0"/>
    <xf numFmtId="170" fontId="222" fillId="0" borderId="2"/>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0" fontId="17" fillId="41" borderId="2">
      <alignment horizontal="centerContinuous"/>
    </xf>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3" fontId="17"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41" fillId="0" borderId="59" applyFill="0" applyProtection="0">
      <alignment horizontal="right"/>
    </xf>
    <xf numFmtId="179" fontId="41"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1"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1" fillId="0" borderId="59" applyFill="0" applyProtection="0">
      <alignment horizontal="right"/>
    </xf>
    <xf numFmtId="179" fontId="25" fillId="0" borderId="59" applyFill="0" applyProtection="0">
      <alignment horizontal="right"/>
    </xf>
    <xf numFmtId="49" fontId="22" fillId="0" borderId="67">
      <alignment horizontal="left"/>
    </xf>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0" fontId="246" fillId="0" borderId="78"/>
    <xf numFmtId="0" fontId="246" fillId="0" borderId="78"/>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6" fillId="0" borderId="0" applyFont="0" applyFill="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8" fillId="0" borderId="0"/>
    <xf numFmtId="0" fontId="218" fillId="0" borderId="0"/>
    <xf numFmtId="0" fontId="218" fillId="0" borderId="0"/>
    <xf numFmtId="0" fontId="218" fillId="0" borderId="0"/>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179" fontId="218" fillId="0" borderId="13" applyFill="0" applyProtection="0">
      <alignment horizontal="right"/>
    </xf>
    <xf numFmtId="0" fontId="218" fillId="0" borderId="0"/>
    <xf numFmtId="0" fontId="218" fillId="0" borderId="0"/>
    <xf numFmtId="0" fontId="218" fillId="0" borderId="0"/>
    <xf numFmtId="0" fontId="218" fillId="0" borderId="0"/>
    <xf numFmtId="235" fontId="218" fillId="0" borderId="0"/>
    <xf numFmtId="235" fontId="218" fillId="0" borderId="0"/>
    <xf numFmtId="235" fontId="218" fillId="0" borderId="0"/>
    <xf numFmtId="235" fontId="218" fillId="0" borderId="0"/>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170"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14" fillId="0" borderId="0"/>
    <xf numFmtId="0" fontId="14" fillId="0" borderId="0"/>
    <xf numFmtId="0" fontId="14" fillId="0" borderId="0"/>
    <xf numFmtId="0" fontId="14"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6" fillId="0" borderId="0">
      <alignment vertical="center"/>
    </xf>
    <xf numFmtId="0" fontId="36"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6"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6" fillId="0" borderId="0">
      <alignment vertical="center"/>
    </xf>
    <xf numFmtId="0" fontId="36"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37" fillId="0" borderId="0">
      <alignment vertical="center"/>
    </xf>
    <xf numFmtId="0" fontId="36" fillId="0" borderId="0">
      <alignment vertical="center"/>
    </xf>
  </cellStyleXfs>
  <cellXfs count="185">
    <xf numFmtId="0" fontId="0" fillId="0" borderId="0" xfId="0">
      <alignment vertical="center"/>
    </xf>
    <xf numFmtId="0" fontId="6" fillId="0" borderId="0" xfId="0" applyFont="1" applyProtection="1">
      <alignment vertical="center"/>
      <protection locked="0"/>
    </xf>
    <xf numFmtId="0" fontId="7" fillId="0" borderId="0" xfId="0"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right" vertical="center"/>
      <protection locked="0"/>
    </xf>
    <xf numFmtId="0" fontId="1" fillId="0" borderId="0" xfId="0" applyFont="1" applyAlignment="1" applyProtection="1">
      <alignment horizontal="left" vertical="center"/>
      <protection locked="0"/>
    </xf>
    <xf numFmtId="0" fontId="4" fillId="0" borderId="14" xfId="0" applyFont="1" applyBorder="1" applyAlignment="1" applyProtection="1">
      <alignment vertical="top"/>
      <protection locked="0"/>
    </xf>
    <xf numFmtId="0" fontId="4" fillId="0" borderId="0" xfId="0" applyFont="1" applyAlignment="1" applyProtection="1">
      <alignment vertical="top"/>
      <protection locked="0"/>
    </xf>
    <xf numFmtId="0" fontId="4" fillId="0" borderId="15" xfId="0" applyFont="1" applyBorder="1" applyAlignment="1" applyProtection="1">
      <alignment vertical="top"/>
      <protection locked="0"/>
    </xf>
    <xf numFmtId="0" fontId="4" fillId="0" borderId="0" xfId="0" applyFont="1" applyAlignment="1" applyProtection="1">
      <alignment horizontal="center" vertical="center"/>
      <protection locked="0"/>
    </xf>
    <xf numFmtId="0" fontId="0" fillId="0" borderId="0" xfId="0" applyProtection="1">
      <alignment vertical="center"/>
      <protection locked="0"/>
    </xf>
    <xf numFmtId="0" fontId="4" fillId="0" borderId="2" xfId="0" applyFont="1" applyBorder="1" applyAlignment="1" applyProtection="1">
      <alignment horizontal="center" vertical="center"/>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6" xfId="0" applyFont="1" applyBorder="1" applyAlignment="1" applyProtection="1">
      <alignment vertical="top"/>
      <protection locked="0"/>
    </xf>
    <xf numFmtId="0" fontId="4" fillId="0" borderId="0" xfId="0" applyFont="1" applyAlignment="1" applyProtection="1">
      <alignment horizontal="left" vertical="top" wrapText="1"/>
      <protection locked="0"/>
    </xf>
    <xf numFmtId="0" fontId="4" fillId="0" borderId="10" xfId="0" applyFont="1" applyBorder="1" applyAlignment="1" applyProtection="1">
      <alignment vertical="top"/>
      <protection locked="0"/>
    </xf>
    <xf numFmtId="0" fontId="4" fillId="0" borderId="11" xfId="0" applyFont="1" applyBorder="1" applyAlignment="1" applyProtection="1">
      <alignment vertical="top"/>
      <protection locked="0"/>
    </xf>
    <xf numFmtId="0" fontId="4" fillId="0" borderId="12" xfId="0" applyFont="1" applyBorder="1" applyAlignment="1" applyProtection="1">
      <alignment vertical="top"/>
      <protection locked="0"/>
    </xf>
    <xf numFmtId="0" fontId="3" fillId="0" borderId="0" xfId="0" applyFont="1" applyProtection="1">
      <alignment vertical="center"/>
      <protection locked="0"/>
    </xf>
    <xf numFmtId="0" fontId="3" fillId="0" borderId="4" xfId="0" applyFont="1" applyBorder="1" applyProtection="1">
      <alignment vertical="center"/>
      <protection locked="0"/>
    </xf>
    <xf numFmtId="0" fontId="3" fillId="0" borderId="5" xfId="0" applyFont="1" applyBorder="1" applyProtection="1">
      <alignment vertical="center"/>
      <protection locked="0"/>
    </xf>
    <xf numFmtId="0" fontId="3" fillId="0" borderId="6" xfId="0" applyFont="1" applyBorder="1" applyProtection="1">
      <alignment vertical="center"/>
      <protection locked="0"/>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0" borderId="12" xfId="0" applyFont="1" applyBorder="1" applyProtection="1">
      <alignment vertical="center"/>
      <protection locked="0"/>
    </xf>
    <xf numFmtId="0" fontId="3" fillId="0" borderId="10" xfId="0" applyFont="1" applyBorder="1" applyAlignment="1" applyProtection="1">
      <alignment horizontal="left" vertical="center"/>
      <protection locked="0"/>
    </xf>
    <xf numFmtId="0" fontId="1" fillId="0" borderId="4" xfId="0" applyFont="1" applyBorder="1" applyAlignment="1" applyProtection="1">
      <alignment vertical="top"/>
      <protection locked="0"/>
    </xf>
    <xf numFmtId="0" fontId="1" fillId="0" borderId="5" xfId="0" applyFont="1" applyBorder="1" applyAlignment="1" applyProtection="1">
      <alignment vertical="top"/>
      <protection locked="0"/>
    </xf>
    <xf numFmtId="0" fontId="1" fillId="0" borderId="6" xfId="0" applyFont="1" applyBorder="1" applyAlignment="1" applyProtection="1">
      <alignment vertical="top"/>
      <protection locked="0"/>
    </xf>
    <xf numFmtId="0" fontId="1" fillId="0" borderId="14" xfId="0" applyFont="1" applyBorder="1" applyAlignment="1" applyProtection="1">
      <alignment vertical="top"/>
      <protection locked="0"/>
    </xf>
    <xf numFmtId="0" fontId="1" fillId="0" borderId="0" xfId="0" applyFont="1" applyAlignment="1" applyProtection="1">
      <alignment vertical="top"/>
      <protection locked="0"/>
    </xf>
    <xf numFmtId="0" fontId="1" fillId="0" borderId="15" xfId="0" applyFont="1" applyBorder="1" applyAlignment="1" applyProtection="1">
      <alignment vertical="top"/>
      <protection locked="0"/>
    </xf>
    <xf numFmtId="0" fontId="1" fillId="0" borderId="10" xfId="0" applyFont="1" applyBorder="1" applyAlignment="1" applyProtection="1">
      <alignment vertical="top"/>
      <protection locked="0"/>
    </xf>
    <xf numFmtId="0" fontId="1" fillId="0" borderId="11" xfId="0" applyFont="1" applyBorder="1" applyAlignment="1" applyProtection="1">
      <alignment vertical="top"/>
      <protection locked="0"/>
    </xf>
    <xf numFmtId="0" fontId="1" fillId="0" borderId="12" xfId="0" applyFont="1" applyBorder="1" applyAlignment="1" applyProtection="1">
      <alignment vertical="top"/>
      <protection locked="0"/>
    </xf>
    <xf numFmtId="0" fontId="1" fillId="0" borderId="2" xfId="0" applyFont="1" applyBorder="1" applyProtection="1">
      <alignment vertical="center"/>
      <protection locked="0"/>
    </xf>
    <xf numFmtId="0" fontId="5" fillId="0" borderId="2"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4" fillId="0" borderId="2" xfId="0" applyFont="1" applyBorder="1" applyAlignment="1" applyProtection="1">
      <alignment vertical="top"/>
      <protection locked="0"/>
    </xf>
    <xf numFmtId="0" fontId="277" fillId="0" borderId="0" xfId="6650" applyFont="1">
      <alignment vertical="center"/>
    </xf>
    <xf numFmtId="0" fontId="8" fillId="0" borderId="0" xfId="6650" applyFont="1">
      <alignment vertical="center"/>
    </xf>
    <xf numFmtId="0" fontId="243" fillId="0" borderId="0" xfId="2889"/>
    <xf numFmtId="0" fontId="278" fillId="0" borderId="0" xfId="6650" applyFont="1">
      <alignment vertical="center"/>
    </xf>
    <xf numFmtId="0" fontId="279" fillId="0" borderId="0" xfId="6650" applyFont="1">
      <alignment vertical="center"/>
    </xf>
    <xf numFmtId="0" fontId="281" fillId="0" borderId="0" xfId="47" applyFont="1" applyAlignment="1">
      <alignment vertical="center"/>
    </xf>
    <xf numFmtId="0" fontId="282" fillId="0" borderId="0" xfId="47" applyFont="1" applyAlignment="1">
      <alignment vertical="center"/>
    </xf>
    <xf numFmtId="0" fontId="8" fillId="0" borderId="0" xfId="6650" applyFont="1" applyAlignment="1"/>
    <xf numFmtId="0" fontId="284" fillId="0" borderId="0" xfId="0" applyFont="1" applyAlignment="1">
      <alignment vertical="center" wrapText="1"/>
    </xf>
    <xf numFmtId="0" fontId="8" fillId="0" borderId="0" xfId="6650" applyFont="1" applyAlignment="1">
      <alignment horizontal="left" vertical="center"/>
    </xf>
    <xf numFmtId="0" fontId="8" fillId="0" borderId="0" xfId="6650" applyFont="1" applyAlignment="1">
      <alignment vertical="center" wrapText="1"/>
    </xf>
    <xf numFmtId="9" fontId="4" fillId="0" borderId="2" xfId="0" applyNumberFormat="1" applyFont="1" applyBorder="1" applyAlignment="1" applyProtection="1">
      <alignment horizontal="left" vertical="center"/>
      <protection locked="0"/>
    </xf>
    <xf numFmtId="0" fontId="4" fillId="0" borderId="2" xfId="0" applyFont="1" applyBorder="1" applyAlignment="1" applyProtection="1">
      <alignment horizontal="left" vertical="center"/>
      <protection locked="0"/>
    </xf>
    <xf numFmtId="174" fontId="4" fillId="0" borderId="2" xfId="0" applyNumberFormat="1" applyFont="1" applyBorder="1" applyAlignment="1" applyProtection="1">
      <alignment horizontal="center" vertical="center"/>
      <protection locked="0"/>
    </xf>
    <xf numFmtId="0" fontId="35" fillId="0" borderId="4" xfId="0" applyFont="1" applyBorder="1" applyAlignment="1" applyProtection="1">
      <alignment horizontal="left" vertical="top" wrapText="1"/>
      <protection locked="0"/>
    </xf>
    <xf numFmtId="0" fontId="35" fillId="0" borderId="5" xfId="0" applyFont="1" applyBorder="1" applyAlignment="1" applyProtection="1">
      <alignment horizontal="left" vertical="top" wrapText="1"/>
      <protection locked="0"/>
    </xf>
    <xf numFmtId="0" fontId="35" fillId="0" borderId="6" xfId="0" applyFont="1" applyBorder="1" applyAlignment="1" applyProtection="1">
      <alignment horizontal="left" vertical="top" wrapText="1"/>
      <protection locked="0"/>
    </xf>
    <xf numFmtId="0" fontId="35" fillId="0" borderId="14" xfId="0" applyFont="1" applyBorder="1" applyAlignment="1" applyProtection="1">
      <alignment horizontal="left" vertical="top" wrapText="1"/>
      <protection locked="0"/>
    </xf>
    <xf numFmtId="0" fontId="35" fillId="0" borderId="0" xfId="0" applyFont="1" applyAlignment="1" applyProtection="1">
      <alignment horizontal="left" vertical="top" wrapText="1"/>
      <protection locked="0"/>
    </xf>
    <xf numFmtId="0" fontId="35" fillId="0" borderId="15" xfId="0" applyFont="1" applyBorder="1" applyAlignment="1" applyProtection="1">
      <alignment horizontal="left" vertical="top" wrapText="1"/>
      <protection locked="0"/>
    </xf>
    <xf numFmtId="0" fontId="35" fillId="0" borderId="10" xfId="0" applyFont="1" applyBorder="1" applyAlignment="1" applyProtection="1">
      <alignment horizontal="left" vertical="top" wrapText="1"/>
      <protection locked="0"/>
    </xf>
    <xf numFmtId="0" fontId="35" fillId="0" borderId="78" xfId="0" applyFont="1" applyBorder="1" applyAlignment="1" applyProtection="1">
      <alignment horizontal="left" vertical="top" wrapText="1"/>
      <protection locked="0"/>
    </xf>
    <xf numFmtId="0" fontId="35" fillId="0" borderId="12" xfId="0" applyFont="1" applyBorder="1" applyAlignment="1" applyProtection="1">
      <alignment horizontal="left" vertical="top" wrapText="1"/>
      <protection locked="0"/>
    </xf>
    <xf numFmtId="0" fontId="4" fillId="0" borderId="1"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wrapText="1"/>
      <protection locked="0"/>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13" xfId="0" applyFont="1" applyFill="1" applyBorder="1" applyAlignment="1">
      <alignment horizontal="center" vertical="center"/>
    </xf>
    <xf numFmtId="174" fontId="4" fillId="5" borderId="2" xfId="0" applyNumberFormat="1" applyFont="1" applyFill="1" applyBorder="1" applyAlignment="1">
      <alignment horizontal="center" vertical="center"/>
    </xf>
    <xf numFmtId="0" fontId="35" fillId="0" borderId="5" xfId="0" applyFont="1" applyBorder="1" applyAlignment="1" applyProtection="1">
      <alignment horizontal="left" vertical="top"/>
      <protection locked="0"/>
    </xf>
    <xf numFmtId="0" fontId="35" fillId="0" borderId="6" xfId="0" applyFont="1" applyBorder="1" applyAlignment="1" applyProtection="1">
      <alignment horizontal="left" vertical="top"/>
      <protection locked="0"/>
    </xf>
    <xf numFmtId="0" fontId="35" fillId="0" borderId="14" xfId="0" applyFont="1" applyBorder="1" applyAlignment="1" applyProtection="1">
      <alignment horizontal="left" vertical="top"/>
      <protection locked="0"/>
    </xf>
    <xf numFmtId="0" fontId="35" fillId="0" borderId="0" xfId="0" applyFont="1" applyAlignment="1" applyProtection="1">
      <alignment horizontal="left" vertical="top"/>
      <protection locked="0"/>
    </xf>
    <xf numFmtId="0" fontId="35" fillId="0" borderId="15" xfId="0" applyFont="1" applyBorder="1" applyAlignment="1" applyProtection="1">
      <alignment horizontal="left" vertical="top"/>
      <protection locked="0"/>
    </xf>
    <xf numFmtId="0" fontId="35" fillId="0" borderId="10" xfId="0" applyFont="1" applyBorder="1" applyAlignment="1" applyProtection="1">
      <alignment horizontal="left" vertical="top"/>
      <protection locked="0"/>
    </xf>
    <xf numFmtId="0" fontId="35" fillId="0" borderId="78" xfId="0" applyFont="1" applyBorder="1" applyAlignment="1" applyProtection="1">
      <alignment horizontal="left" vertical="top"/>
      <protection locked="0"/>
    </xf>
    <xf numFmtId="0" fontId="35" fillId="0" borderId="12" xfId="0" applyFont="1" applyBorder="1" applyAlignment="1" applyProtection="1">
      <alignment horizontal="left" vertical="top"/>
      <protection locked="0"/>
    </xf>
    <xf numFmtId="0" fontId="3" fillId="0" borderId="2"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3" fillId="0" borderId="7"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9" fontId="4" fillId="5" borderId="7" xfId="0" applyNumberFormat="1" applyFont="1" applyFill="1" applyBorder="1" applyAlignment="1">
      <alignment horizontal="center" vertical="center"/>
    </xf>
    <xf numFmtId="9" fontId="4" fillId="5" borderId="8" xfId="0" applyNumberFormat="1" applyFont="1" applyFill="1" applyBorder="1" applyAlignment="1">
      <alignment horizontal="center" vertical="center"/>
    </xf>
    <xf numFmtId="0" fontId="4" fillId="5" borderId="9" xfId="0" applyFont="1" applyFill="1" applyBorder="1" applyAlignment="1">
      <alignment horizontal="center" vertical="center"/>
    </xf>
    <xf numFmtId="0" fontId="4" fillId="0" borderId="7"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1" fontId="4" fillId="5" borderId="7" xfId="0" applyNumberFormat="1" applyFont="1" applyFill="1" applyBorder="1" applyAlignment="1">
      <alignment horizontal="center" vertical="center"/>
    </xf>
    <xf numFmtId="1" fontId="4" fillId="5" borderId="9" xfId="0" applyNumberFormat="1" applyFont="1" applyFill="1" applyBorder="1" applyAlignment="1">
      <alignment horizontal="center" vertical="center"/>
    </xf>
    <xf numFmtId="0" fontId="3" fillId="0" borderId="1" xfId="0" applyFont="1" applyBorder="1" applyAlignment="1" applyProtection="1">
      <alignment horizontal="center" vertical="center" textRotation="255" wrapText="1"/>
      <protection locked="0"/>
    </xf>
    <xf numFmtId="0" fontId="3" fillId="0" borderId="3" xfId="0" applyFont="1" applyBorder="1" applyAlignment="1" applyProtection="1">
      <alignment horizontal="center" vertical="center" textRotation="255" wrapText="1"/>
      <protection locked="0"/>
    </xf>
    <xf numFmtId="0" fontId="3" fillId="0" borderId="13" xfId="0" applyFont="1" applyBorder="1" applyAlignment="1" applyProtection="1">
      <alignment horizontal="center" vertical="center" textRotation="255" wrapText="1"/>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0" borderId="79" xfId="22" applyFont="1" applyBorder="1" applyAlignment="1" applyProtection="1">
      <alignment horizontal="center" vertical="center"/>
      <protection locked="0"/>
    </xf>
    <xf numFmtId="0" fontId="276" fillId="0" borderId="80" xfId="22" applyFont="1" applyBorder="1" applyProtection="1">
      <protection locked="0"/>
    </xf>
    <xf numFmtId="0" fontId="4" fillId="0" borderId="2" xfId="665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4" fillId="0" borderId="7"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7" xfId="0" applyFont="1" applyBorder="1" applyAlignment="1" applyProtection="1">
      <alignment horizontal="left" vertical="top" wrapText="1"/>
      <protection locked="0"/>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4" fillId="0" borderId="4"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7" xfId="6650" applyFont="1" applyBorder="1" applyAlignment="1" applyProtection="1">
      <alignment horizontal="center" vertical="center"/>
      <protection locked="0"/>
    </xf>
    <xf numFmtId="0" fontId="4" fillId="0" borderId="9" xfId="665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4" fillId="0" borderId="2" xfId="0" applyFont="1" applyBorder="1" applyAlignment="1" applyProtection="1">
      <alignment horizontal="left" vertical="top" wrapText="1"/>
      <protection locked="0"/>
    </xf>
    <xf numFmtId="0" fontId="4" fillId="0" borderId="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4" fillId="5" borderId="7" xfId="0"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protection locked="0"/>
    </xf>
    <xf numFmtId="0" fontId="3" fillId="0" borderId="40" xfId="0" applyFont="1" applyBorder="1" applyAlignment="1" applyProtection="1">
      <alignment horizontal="center" vertical="center"/>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5" borderId="10" xfId="0" applyFont="1" applyFill="1" applyBorder="1" applyAlignment="1">
      <alignment horizontal="center" vertical="center"/>
    </xf>
    <xf numFmtId="0" fontId="3" fillId="5" borderId="12" xfId="0" applyFont="1" applyFill="1" applyBorder="1" applyAlignment="1">
      <alignment horizontal="center" vertical="center"/>
    </xf>
    <xf numFmtId="0" fontId="1" fillId="0" borderId="16"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174" fontId="1" fillId="5" borderId="19" xfId="0" applyNumberFormat="1" applyFont="1" applyFill="1" applyBorder="1" applyAlignment="1">
      <alignment horizontal="center" vertical="center"/>
    </xf>
    <xf numFmtId="174" fontId="1" fillId="5" borderId="22" xfId="0" applyNumberFormat="1" applyFont="1" applyFill="1" applyBorder="1" applyAlignment="1">
      <alignment horizontal="center" vertical="center"/>
    </xf>
    <xf numFmtId="0" fontId="1" fillId="0" borderId="0" xfId="0" applyFont="1" applyAlignment="1" applyProtection="1">
      <alignment horizontal="center" vertical="center"/>
      <protection locked="0"/>
    </xf>
    <xf numFmtId="174" fontId="1" fillId="5" borderId="31" xfId="0" applyNumberFormat="1" applyFont="1" applyFill="1" applyBorder="1" applyAlignment="1">
      <alignment horizontal="center" vertical="center"/>
    </xf>
    <xf numFmtId="174" fontId="1" fillId="5" borderId="32" xfId="0" applyNumberFormat="1" applyFont="1" applyFill="1" applyBorder="1" applyAlignment="1">
      <alignment horizontal="center" vertical="center"/>
    </xf>
    <xf numFmtId="174" fontId="1" fillId="5" borderId="34" xfId="0" applyNumberFormat="1" applyFont="1" applyFill="1" applyBorder="1" applyAlignment="1">
      <alignment horizontal="center" vertical="center"/>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174" fontId="1" fillId="5" borderId="38" xfId="0" applyNumberFormat="1" applyFont="1" applyFill="1" applyBorder="1" applyAlignment="1">
      <alignment horizontal="center" vertical="center"/>
    </xf>
    <xf numFmtId="174" fontId="1" fillId="5" borderId="36" xfId="0" applyNumberFormat="1" applyFont="1" applyFill="1" applyBorder="1" applyAlignment="1">
      <alignment horizontal="center" vertical="center"/>
    </xf>
    <xf numFmtId="174" fontId="1" fillId="5" borderId="39" xfId="0" applyNumberFormat="1" applyFont="1" applyFill="1" applyBorder="1" applyAlignment="1">
      <alignment horizontal="center" vertical="center"/>
    </xf>
    <xf numFmtId="0" fontId="1" fillId="0" borderId="23" xfId="0" applyFont="1" applyBorder="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174" fontId="1" fillId="5" borderId="26" xfId="0" applyNumberFormat="1" applyFont="1" applyFill="1" applyBorder="1" applyAlignment="1">
      <alignment horizontal="center" vertical="center"/>
    </xf>
    <xf numFmtId="174" fontId="1" fillId="5" borderId="24" xfId="0" applyNumberFormat="1" applyFont="1" applyFill="1" applyBorder="1" applyAlignment="1">
      <alignment horizontal="center" vertical="center"/>
    </xf>
    <xf numFmtId="174" fontId="1" fillId="5" borderId="27" xfId="0" applyNumberFormat="1" applyFont="1" applyFill="1" applyBorder="1" applyAlignment="1">
      <alignment horizontal="center" vertical="center"/>
    </xf>
    <xf numFmtId="174" fontId="1" fillId="5" borderId="20" xfId="0" applyNumberFormat="1" applyFont="1" applyFill="1" applyBorder="1" applyAlignment="1">
      <alignment horizontal="center" vertical="center"/>
    </xf>
  </cellXfs>
  <cellStyles count="6651">
    <cellStyle name="####" xfId="288" xr:uid="{00000000-0005-0000-0000-000000000000}"/>
    <cellStyle name="#### 2" xfId="2890" xr:uid="{00000000-0005-0000-0000-000001000000}"/>
    <cellStyle name="#### 2 2" xfId="2891" xr:uid="{00000000-0005-0000-0000-000002000000}"/>
    <cellStyle name="#### 3" xfId="2892" xr:uid="{00000000-0005-0000-0000-000003000000}"/>
    <cellStyle name="#### 3 2" xfId="2893" xr:uid="{00000000-0005-0000-0000-000004000000}"/>
    <cellStyle name="#### 3 2 2" xfId="2894" xr:uid="{00000000-0005-0000-0000-000005000000}"/>
    <cellStyle name="#### 3 3" xfId="2895" xr:uid="{00000000-0005-0000-0000-000006000000}"/>
    <cellStyle name="#### 4" xfId="2896" xr:uid="{00000000-0005-0000-0000-000007000000}"/>
    <cellStyle name="#,##0&quot; &quot;;-#,##0&quot; &quot;;;" xfId="2897" xr:uid="{00000000-0005-0000-0000-000008000000}"/>
    <cellStyle name=".0" xfId="53" xr:uid="{00000000-0005-0000-0000-000009000000}"/>
    <cellStyle name=".0 2" xfId="2792" xr:uid="{00000000-0005-0000-0000-00000A000000}"/>
    <cellStyle name=".xls_x0006__x0014_" xfId="54" xr:uid="{00000000-0005-0000-0000-00000B000000}"/>
    <cellStyle name=".xls_x0006__x0014_ 2" xfId="2793" xr:uid="{00000000-0005-0000-0000-00000C000000}"/>
    <cellStyle name=".xls_x0006__x0014_ 2 2" xfId="2898" xr:uid="{00000000-0005-0000-0000-00000D000000}"/>
    <cellStyle name=".xls_x0006__x0014_ 2 2 2" xfId="2899" xr:uid="{00000000-0005-0000-0000-00000E000000}"/>
    <cellStyle name=".xls_x0006__x0014_ 2 2 2 2" xfId="2900" xr:uid="{00000000-0005-0000-0000-00000F000000}"/>
    <cellStyle name=".xls_x0006__x0014_ 2 2 3" xfId="2901" xr:uid="{00000000-0005-0000-0000-000010000000}"/>
    <cellStyle name=".xls_x0006__x0014_ 2 2 3 2" xfId="2902" xr:uid="{00000000-0005-0000-0000-000011000000}"/>
    <cellStyle name=".xls_x0006__x0014_ 2 2 3 2 2" xfId="2903" xr:uid="{00000000-0005-0000-0000-000012000000}"/>
    <cellStyle name=".xls_x0006__x0014_ 2 2 3 3" xfId="2904" xr:uid="{00000000-0005-0000-0000-000013000000}"/>
    <cellStyle name=".xls_x0006__x0014_ 2 2 4" xfId="2905" xr:uid="{00000000-0005-0000-0000-000014000000}"/>
    <cellStyle name=".xls_x0006__x0014_ 2 3" xfId="2906" xr:uid="{00000000-0005-0000-0000-000015000000}"/>
    <cellStyle name=".xls_x0006__x0014_ 3" xfId="2907" xr:uid="{00000000-0005-0000-0000-000016000000}"/>
    <cellStyle name=".xls_x0006__x0014_ 4" xfId="5267" xr:uid="{00000000-0005-0000-0000-000017000000}"/>
    <cellStyle name=".xls_x0006__x0014_ 4 2" xfId="6355" xr:uid="{00000000-0005-0000-0000-000018000000}"/>
    <cellStyle name=".xls_x0006__x0014_ 5" xfId="5268" xr:uid="{00000000-0005-0000-0000-000019000000}"/>
    <cellStyle name=".xls_x0006__x0014_ 5 2" xfId="6356" xr:uid="{00000000-0005-0000-0000-00001A000000}"/>
    <cellStyle name=".xls_x0006__x0014_ 6" xfId="5269" xr:uid="{00000000-0005-0000-0000-00001B000000}"/>
    <cellStyle name=".xls_x0006__x0014_ 6 2" xfId="6357" xr:uid="{00000000-0005-0000-0000-00001C000000}"/>
    <cellStyle name=".xls_x0006__x0014_ 7" xfId="5270" xr:uid="{00000000-0005-0000-0000-00001D000000}"/>
    <cellStyle name=".xls_x0006__x0014_ 7 2" xfId="6358" xr:uid="{00000000-0005-0000-0000-00001E000000}"/>
    <cellStyle name=".xls_x0006__x0014_?NJI1.XLS?Tm_x0002__x000f_標準_JINJI2.XLS?_x0014_b?_x000f_標準_JINJI3.XLS?Jm_x0002__x000f_標準_JINJI4.XLS?_x0014_b?_x000f_標準_JINJI5.XL" xfId="289" xr:uid="{00000000-0005-0000-0000-00001F000000}"/>
    <cellStyle name="?" xfId="290" xr:uid="{00000000-0005-0000-0000-000020000000}"/>
    <cellStyle name="?? [0.00]_ Badget Plan-actualal" xfId="291" xr:uid="{00000000-0005-0000-0000-000021000000}"/>
    <cellStyle name="?? [0]_1202" xfId="55" xr:uid="{00000000-0005-0000-0000-000022000000}"/>
    <cellStyle name="???" xfId="292" xr:uid="{00000000-0005-0000-0000-000023000000}"/>
    <cellStyle name="-?-???" xfId="293" xr:uid="{00000000-0005-0000-0000-000024000000}"/>
    <cellStyle name="???? [0.00]_ Badget Plan-actual???_x0003_" xfId="294" xr:uid="{00000000-0005-0000-0000-000025000000}"/>
    <cellStyle name="???????" xfId="56" xr:uid="{00000000-0005-0000-0000-000026000000}"/>
    <cellStyle name="???????_x0003_" xfId="57" xr:uid="{00000000-0005-0000-0000-000027000000}"/>
    <cellStyle name="???????_x0006_" xfId="295" xr:uid="{00000000-0005-0000-0000-000028000000}"/>
    <cellStyle name="???????#18-Int" xfId="296" xr:uid="{00000000-0005-0000-0000-000029000000}"/>
    <cellStyle name="???????_x0003_???_x0006_?_x000e_" xfId="297" xr:uid="{00000000-0005-0000-0000-00002A000000}"/>
    <cellStyle name="???????_x0006_???_x0007_?_x0014_" xfId="298" xr:uid="{00000000-0005-0000-0000-00002B000000}"/>
    <cellStyle name="????????????" xfId="58" xr:uid="{00000000-0005-0000-0000-00002C000000}"/>
    <cellStyle name="?????????????_x0014_" xfId="299" xr:uid="{00000000-0005-0000-0000-00002D000000}"/>
    <cellStyle name="-?-???????_x0004_?-???-_x0001_?" xfId="300" xr:uid="{00000000-0005-0000-0000-00002E000000}"/>
    <cellStyle name="?????????????????" xfId="59" xr:uid="{00000000-0005-0000-0000-00002F000000}"/>
    <cellStyle name="????????????????? [0]_002 MTRP PLAN format" xfId="301" xr:uid="{00000000-0005-0000-0000-000030000000}"/>
    <cellStyle name="??????????????????? [0]_002 MTRP PLAN format" xfId="302" xr:uid="{00000000-0005-0000-0000-000031000000}"/>
    <cellStyle name="???????????????????![0]_Book1" xfId="303" xr:uid="{00000000-0005-0000-0000-000032000000}"/>
    <cellStyle name="???????????????????????" xfId="60" xr:uid="{00000000-0005-0000-0000-000033000000}"/>
    <cellStyle name="???????????????????_002 MTRP PLAN format" xfId="304" xr:uid="{00000000-0005-0000-0000-000034000000}"/>
    <cellStyle name="?????????????_x000e_?????`?`??" xfId="305" xr:uid="{00000000-0005-0000-0000-000035000000}"/>
    <cellStyle name="?????????????_x0014_?????`?`??" xfId="306" xr:uid="{00000000-0005-0000-0000-000036000000}"/>
    <cellStyle name="?????????????_x0014_?????`?`??a EPS)?????@?" xfId="307" xr:uid="{00000000-0005-0000-0000-000037000000}"/>
    <cellStyle name="?????????????????_(１係）1104TOPSサーモスH ２" xfId="308" xr:uid="{00000000-0005-0000-0000-000038000000}"/>
    <cellStyle name="?????????????????EPS)S)m" xfId="309" xr:uid="{00000000-0005-0000-0000-000039000000}"/>
    <cellStyle name="???????_x0006_???_x0007_?_x0014_?????`?" xfId="310" xr:uid="{00000000-0005-0000-0000-00003A000000}"/>
    <cellStyle name="-?-???????_x0004_?-???-_x0001_?_2012年度 保全担当者資料" xfId="311" xr:uid="{00000000-0005-0000-0000-00003B000000}"/>
    <cellStyle name="????????????_(200607)abc table" xfId="312" xr:uid="{00000000-0005-0000-0000-00003C000000}"/>
    <cellStyle name="????????????-6FLTC09" xfId="61" xr:uid="{00000000-0005-0000-0000-00003D000000}"/>
    <cellStyle name="????????????-6FLTC09?`??" xfId="313" xr:uid="{00000000-0005-0000-0000-00003E000000}"/>
    <cellStyle name="????????????-6FLTC09_【13計画】工場クレーム費【工場別グラフ（品質）】" xfId="314" xr:uid="{00000000-0005-0000-0000-00003F000000}"/>
    <cellStyle name="????????????lan-actual-a" xfId="315" xr:uid="{00000000-0005-0000-0000-000040000000}"/>
    <cellStyle name="???????_(200607)abc table" xfId="316" xr:uid="{00000000-0005-0000-0000-000041000000}"/>
    <cellStyle name="???????PAINT-6" xfId="62" xr:uid="{00000000-0005-0000-0000-000042000000}"/>
    <cellStyle name="??????\??" xfId="317" xr:uid="{00000000-0005-0000-0000-000043000000}"/>
    <cellStyle name="?????2_#18-" xfId="318" xr:uid="{00000000-0005-0000-0000-000044000000}"/>
    <cellStyle name="????_ " xfId="319" xr:uid="{00000000-0005-0000-0000-000045000000}"/>
    <cellStyle name="-?-???_【13計画】工場クレーム費【工場別グラフ（品質）】" xfId="320" xr:uid="{00000000-0005-0000-0000-000046000000}"/>
    <cellStyle name="????_2-04-99" xfId="63" xr:uid="{00000000-0005-0000-0000-000047000000}"/>
    <cellStyle name="????Badg" xfId="321" xr:uid="{00000000-0005-0000-0000-000048000000}"/>
    <cellStyle name="???_HOBONG" xfId="64" xr:uid="{00000000-0005-0000-0000-000049000000}"/>
    <cellStyle name="???_x000f_Currency" xfId="322" xr:uid="{00000000-0005-0000-0000-00004A000000}"/>
    <cellStyle name="???_x000f_Currency 2" xfId="2908" xr:uid="{00000000-0005-0000-0000-00004B000000}"/>
    <cellStyle name="??_ Badget Plan-actual" xfId="65" xr:uid="{00000000-0005-0000-0000-00004C000000}"/>
    <cellStyle name="??’?義" xfId="66" xr:uid="{00000000-0005-0000-0000-00004D000000}"/>
    <cellStyle name="??’?義 2" xfId="2794" xr:uid="{00000000-0005-0000-0000-00004E000000}"/>
    <cellStyle name="??・?AC" xfId="323" xr:uid="{00000000-0005-0000-0000-00004F000000}"/>
    <cellStyle name="??f?`" xfId="324" xr:uid="{00000000-0005-0000-0000-000050000000}"/>
    <cellStyle name="??msBa" xfId="325" xr:uid="{00000000-0005-0000-0000-000051000000}"/>
    <cellStyle name="?_【13計画】工場クレーム費【工場別グラフ（品質）】" xfId="326" xr:uid="{00000000-0005-0000-0000-000052000000}"/>
    <cellStyle name="?_【業連】生本ビ 12-36 13年度ﾋﾞﾙ短計ｶﾞｲﾄﾞﾗｲﾝ" xfId="327" xr:uid="{00000000-0005-0000-0000-000053000000}"/>
    <cellStyle name="–?’?`" xfId="67" xr:uid="{00000000-0005-0000-0000-000054000000}"/>
    <cellStyle name="?\??・?????n?C?pー???“?N" xfId="328" xr:uid="{00000000-0005-0000-0000-000055000000}"/>
    <cellStyle name="?\????????n?C?p[???g?N" xfId="329" xr:uid="{00000000-0005-0000-0000-000056000000}"/>
    <cellStyle name="?\??E?????n?C?p[???g?N" xfId="330" xr:uid="{00000000-0005-0000-0000-000057000000}"/>
    <cellStyle name="?\?|I?Y?I?n?C?p[???g?N" xfId="331" xr:uid="{00000000-0005-0000-0000-000058000000}"/>
    <cellStyle name="?\?|巧?Y?I?n?C?pー???“?N" xfId="332" xr:uid="{00000000-0005-0000-0000-000059000000}"/>
    <cellStyle name="?\・・・・?n?C?pー???“?N" xfId="333" xr:uid="{00000000-0005-0000-0000-00005A000000}"/>
    <cellStyle name="?\・・・・ハイパーリメgク" xfId="68" xr:uid="{00000000-0005-0000-0000-00005B000000}"/>
    <cellStyle name="?\EEEE?n?C?p[???g?N" xfId="334" xr:uid="{00000000-0005-0000-0000-00005C000000}"/>
    <cellStyle name="?\EEEEnCp[gN" xfId="335" xr:uid="{00000000-0005-0000-0000-00005D000000}"/>
    <cellStyle name="?c??? [0.00]_laroux`" xfId="336" xr:uid="{00000000-0005-0000-0000-00005E000000}"/>
    <cellStyle name="?c???_・???h(????ux`" xfId="337" xr:uid="{00000000-0005-0000-0000-00005F000000}"/>
    <cellStyle name="?n?C?p[???“?N" xfId="338" xr:uid="{00000000-0005-0000-0000-000060000000}"/>
    <cellStyle name="?n?C?p[???g?N" xfId="339" xr:uid="{00000000-0005-0000-0000-000061000000}"/>
    <cellStyle name="?n?C?pー???“?N" xfId="340" xr:uid="{00000000-0005-0000-0000-000062000000}"/>
    <cellStyle name="?W?_?????・_x0009_" xfId="341" xr:uid="{00000000-0005-0000-0000-000063000000}"/>
    <cellStyle name="?W・_??・" xfId="342" xr:uid="{00000000-0005-0000-0000-000064000000}"/>
    <cellStyle name="?W?_ö@TBH?h?igyñYEfEE" xfId="343" xr:uid="{00000000-0005-0000-0000-000065000000}"/>
    <cellStyle name="?W_?EE?Eh?" xfId="344" xr:uid="{00000000-0005-0000-0000-000066000000}"/>
    <cellStyle name="?WE_??E" xfId="345" xr:uid="{00000000-0005-0000-0000-000067000000}"/>
    <cellStyle name="?W準_?????" xfId="346" xr:uid="{00000000-0005-0000-0000-000068000000}"/>
    <cellStyle name="]:\/" xfId="347" xr:uid="{00000000-0005-0000-0000-000069000000}"/>
    <cellStyle name="_【08年度 ビル】担当工場別TOPS活動ﾌｫﾛｰｼｰﾄ" xfId="348" xr:uid="{00000000-0005-0000-0000-00006A000000}"/>
    <cellStyle name="_【09年度】設備技術方針書案" xfId="349" xr:uid="{00000000-0005-0000-0000-00006B000000}"/>
    <cellStyle name="_【09年度】設備技術方針書案xls" xfId="350" xr:uid="{00000000-0005-0000-0000-00006C000000}"/>
    <cellStyle name="_【業連】設技10-●●" xfId="351" xr:uid="{00000000-0005-0000-0000-00006D000000}"/>
    <cellStyle name="_●14度ビル短計【出庫計画】" xfId="352" xr:uid="{00000000-0005-0000-0000-00006E000000}"/>
    <cellStyle name="_●押出量減少損益" xfId="2909" xr:uid="{00000000-0005-0000-0000-00006F000000}"/>
    <cellStyle name="_●樹脂BP活動" xfId="2910" xr:uid="{00000000-0005-0000-0000-000070000000}"/>
    <cellStyle name="_070307　小川社長診断会" xfId="353" xr:uid="{00000000-0005-0000-0000-000071000000}"/>
    <cellStyle name="_08度設備技術部方針書 " xfId="354" xr:uid="{00000000-0005-0000-0000-000072000000}"/>
    <cellStyle name="_08年度上期方針実績" xfId="355" xr:uid="{00000000-0005-0000-0000-000073000000}"/>
    <cellStyle name="_090324ビル製造部方針について" xfId="356" xr:uid="{00000000-0005-0000-0000-000074000000}"/>
    <cellStyle name="_090401出張報告書（湊）" xfId="357" xr:uid="{00000000-0005-0000-0000-000075000000}"/>
    <cellStyle name="_09ビル_方針管理 " xfId="358" xr:uid="{00000000-0005-0000-0000-000076000000}"/>
    <cellStyle name="_09年度スケジュール" xfId="359" xr:uid="{00000000-0005-0000-0000-000077000000}"/>
    <cellStyle name="_1003" xfId="2911" xr:uid="{00000000-0005-0000-0000-000078000000}"/>
    <cellStyle name="_10年度 EF大会 水平展開一覧表" xfId="360" xr:uid="{00000000-0005-0000-0000-000079000000}"/>
    <cellStyle name="_１０年度　受講生一覧表" xfId="361" xr:uid="{00000000-0005-0000-0000-00007A000000}"/>
    <cellStyle name="_12年度大連押出原単位推移" xfId="2912" xr:uid="{00000000-0005-0000-0000-00007B000000}"/>
    <cellStyle name="_140205 14度短計ガイドライン【出庫計画】" xfId="362" xr:uid="{00000000-0005-0000-0000-00007C000000}"/>
    <cellStyle name="_１回目教育時の課題" xfId="363" xr:uid="{00000000-0005-0000-0000-00007D000000}"/>
    <cellStyle name="_2012年02月大連工場損益" xfId="2913" xr:uid="{00000000-0005-0000-0000-00007E000000}"/>
    <cellStyle name="_2013年03月大連工場損益 " xfId="2914" xr:uid="{00000000-0005-0000-0000-00007F000000}"/>
    <cellStyle name="_③改10～1月方針フォローシート" xfId="364" xr:uid="{00000000-0005-0000-0000-000080000000}"/>
    <cellStyle name="_Abn.2004" xfId="365" xr:uid="{00000000-0005-0000-0000-000081000000}"/>
    <cellStyle name="_Book2" xfId="366" xr:uid="{00000000-0005-0000-0000-000082000000}"/>
    <cellStyle name="_C-2103" xfId="367" xr:uid="{00000000-0005-0000-0000-000083000000}"/>
    <cellStyle name="_CAIWU031231" xfId="2915" xr:uid="{00000000-0005-0000-0000-000084000000}"/>
    <cellStyle name="_GBS-PRB0C Project Operation and Management Procedure" xfId="2916" xr:uid="{00000000-0005-0000-0000-000085000000}"/>
    <cellStyle name="_JIXIAO-20060207-PM" xfId="2917" xr:uid="{00000000-0005-0000-0000-000086000000}"/>
    <cellStyle name="_laroux_9" xfId="368" xr:uid="{00000000-0005-0000-0000-000087000000}"/>
    <cellStyle name="_laroux_9?b_x0011_Normal_MACRO1.XLM?b_x0017_Normal_mud plant bolted??_x000a_Normal_P&amp;L?_x0011_Normal_PROD SALES?? Normal_PROD SALES " xfId="369" xr:uid="{00000000-0005-0000-0000-000088000000}"/>
    <cellStyle name="_laroux_9?b_x0011_Normal_MACRO1.XLM?b_x0017_Normal_mud plant bolted?e_x000a_Normal_P&amp;L?_x0011_Normal_PROD SALES?e Normal_PROD SALES " xfId="370" xr:uid="{00000000-0005-0000-0000-000089000000}"/>
    <cellStyle name="_laroux_9?b_x0011_Normal_MACRO1.XLM?b_x0017_Normal_mud plant bolted?é_x000a_Normal_P&amp;L?_x0011_Normal_PROD SALES?é Normal_PROD SALES " xfId="371" xr:uid="{00000000-0005-0000-0000-00008A000000}"/>
    <cellStyle name="_laroux_9_【13計画】工場クレーム費【工場別グラフ（品質）】" xfId="372" xr:uid="{00000000-0005-0000-0000-00008B000000}"/>
    <cellStyle name="_laroux_9_【業連】生本ビ 12-36 13年度ﾋﾞﾙ短計ｶﾞｲﾄﾞﾗｲﾝ" xfId="373" xr:uid="{00000000-0005-0000-0000-00008C000000}"/>
    <cellStyle name="_mud plant bolted" xfId="374" xr:uid="{00000000-0005-0000-0000-00008D000000}"/>
    <cellStyle name="_mud plant bolted??_x000a_Normal_P&amp;L?_x0011_Normal_PROD SALES?? Normal_PROD SALES by Region Pg 2?_x000e_Normal_PRODUCT????b???" xfId="375" xr:uid="{00000000-0005-0000-0000-00008E000000}"/>
    <cellStyle name="_mud plant bolted?e_x000a_Normal_P&amp;L?_x0011_Normal_PROD SALES?e Normal_PROD SALES by Region Pg 2?_x000e_Normal_PRODUCT????b?e?" xfId="376" xr:uid="{00000000-0005-0000-0000-00008F000000}"/>
    <cellStyle name="_mud plant bolted?é_x000a_Normal_P&amp;L?_x0011_Normal_PROD SALES?é Normal_PROD SALES by Region Pg 2?_x000e_Normal_PRODUCT?胔԰ʦb鬤éʶ" xfId="377" xr:uid="{00000000-0005-0000-0000-000090000000}"/>
    <cellStyle name="_OSK-NEUSOFT協業共通プロセス" xfId="2918" xr:uid="{00000000-0005-0000-0000-000091000000}"/>
    <cellStyle name="_P" xfId="69" xr:uid="{00000000-0005-0000-0000-000092000000}"/>
    <cellStyle name="_P?_TORABURU_2?_x0001_b?_x0009_" xfId="378" xr:uid="{00000000-0005-0000-0000-000093000000}"/>
    <cellStyle name="_Project番号申請" xfId="2919" xr:uid="{00000000-0005-0000-0000-000094000000}"/>
    <cellStyle name="_Tostem" xfId="379" xr:uid="{00000000-0005-0000-0000-000095000000}"/>
    <cellStyle name="_Tostem.xls Chart 15" xfId="380" xr:uid="{00000000-0005-0000-0000-000096000000}"/>
    <cellStyle name="_Tostem.xls Chart 15_1" xfId="381" xr:uid="{00000000-0005-0000-0000-000097000000}"/>
    <cellStyle name="_Tostem_1" xfId="382" xr:uid="{00000000-0005-0000-0000-000098000000}"/>
    <cellStyle name="_Tostem_2" xfId="383" xr:uid="{00000000-0005-0000-0000-000099000000}"/>
    <cellStyle name="_スキルマップ(BTEMSS)" xfId="2920" xr:uid="{00000000-0005-0000-0000-00009A000000}"/>
    <cellStyle name="_ライン改善実践治具【２０１１0524改訂版】" xfId="384" xr:uid="{00000000-0005-0000-0000-00009B000000}"/>
    <cellStyle name="_稼働率_TOPS治具 " xfId="385" xr:uid="{00000000-0005-0000-0000-00009C000000}"/>
    <cellStyle name="_改訂　081024　0809方針実績 　部長報告資料(3分1）" xfId="386" xr:uid="{00000000-0005-0000-0000-00009D000000}"/>
    <cellStyle name="_開発４部・大連企画（ＣＯＢＯＬ要員育成）BK" xfId="2921" xr:uid="{00000000-0005-0000-0000-00009E000000}"/>
    <cellStyle name="_確定　７期生　第1回教育　スケジュール（受講生連絡用）" xfId="387" xr:uid="{00000000-0005-0000-0000-00009F000000}"/>
    <cellStyle name="_活動内容(13年振返り14年進め方）" xfId="388" xr:uid="{00000000-0005-0000-0000-0000A0000000}"/>
    <cellStyle name="_合同报告取消申请表" xfId="2922" xr:uid="{00000000-0005-0000-0000-0000A1000000}"/>
    <cellStyle name="_座席表" xfId="389" xr:uid="{00000000-0005-0000-0000-0000A2000000}"/>
    <cellStyle name="_受講生名簿" xfId="390" xr:uid="{00000000-0005-0000-0000-0000A3000000}"/>
    <cellStyle name="_周报大连分公司12月31-商用" xfId="2923" xr:uid="{00000000-0005-0000-0000-0000A4000000}"/>
    <cellStyle name="_商用04年2月第3周 " xfId="2924" xr:uid="{00000000-0005-0000-0000-0000A5000000}"/>
    <cellStyle name="_診断会表紙" xfId="391" xr:uid="{00000000-0005-0000-0000-0000A6000000}"/>
    <cellStyle name="_制造部新技   （10年）  2月5日) " xfId="2925" xr:uid="{00000000-0005-0000-0000-0000A7000000}"/>
    <cellStyle name="_制造部新技（09年）一表" xfId="2926" xr:uid="{00000000-0005-0000-0000-0000A8000000}"/>
    <cellStyle name="_生設12-011" xfId="392" xr:uid="{00000000-0005-0000-0000-0000A9000000}"/>
    <cellStyle name="_生設12-035" xfId="393" xr:uid="{00000000-0005-0000-0000-0000AA000000}"/>
    <cellStyle name="_生設14-003" xfId="394" xr:uid="{00000000-0005-0000-0000-0000AB000000}"/>
    <cellStyle name="_設技09-016" xfId="395" xr:uid="{00000000-0005-0000-0000-0000AC000000}"/>
    <cellStyle name="_設技09-037" xfId="396" xr:uid="{00000000-0005-0000-0000-0000AD000000}"/>
    <cellStyle name="_設技10-002" xfId="397" xr:uid="{00000000-0005-0000-0000-0000AE000000}"/>
    <cellStyle name="_設技10-014" xfId="398" xr:uid="{00000000-0005-0000-0000-0000AF000000}"/>
    <cellStyle name="_設技10-023" xfId="399" xr:uid="{00000000-0005-0000-0000-0000B0000000}"/>
    <cellStyle name="_設技11-003" xfId="400" xr:uid="{00000000-0005-0000-0000-0000B1000000}"/>
    <cellStyle name="_設技11-006" xfId="401" xr:uid="{00000000-0005-0000-0000-0000B2000000}"/>
    <cellStyle name="_設備管理成果大会" xfId="402" xr:uid="{00000000-0005-0000-0000-0000B3000000}"/>
    <cellStyle name="_打合せスケジュール" xfId="403" xr:uid="{00000000-0005-0000-0000-0000B4000000}"/>
    <cellStyle name="_打合せまとめ" xfId="404" xr:uid="{00000000-0005-0000-0000-0000B5000000}"/>
    <cellStyle name="_大会スケジュール" xfId="405" xr:uid="{00000000-0005-0000-0000-0000B6000000}"/>
    <cellStyle name="_大東商流" xfId="406" xr:uid="{00000000-0005-0000-0000-0000B7000000}"/>
    <cellStyle name="_第２回　スケジュール" xfId="407" xr:uid="{00000000-0005-0000-0000-0000B8000000}"/>
    <cellStyle name="_第６回設備管理成果大会" xfId="408" xr:uid="{00000000-0005-0000-0000-0000B9000000}"/>
    <cellStyle name="_第６回設備管理成果大会説明" xfId="409" xr:uid="{00000000-0005-0000-0000-0000BA000000}"/>
    <cellStyle name="_第６回大会報文集用" xfId="410" xr:uid="{00000000-0005-0000-0000-0000BB000000}"/>
    <cellStyle name="_第６回大会報文集用改①" xfId="411" xr:uid="{00000000-0005-0000-0000-0000BC000000}"/>
    <cellStyle name="_鋳押進め方反省" xfId="412" xr:uid="{00000000-0005-0000-0000-0000BD000000}"/>
    <cellStyle name="_標準作業組合せ票" xfId="413" xr:uid="{00000000-0005-0000-0000-0000BE000000}"/>
    <cellStyle name="_不稼動要因分析リスト(フォーマット) " xfId="414" xr:uid="{00000000-0005-0000-0000-0000BF000000}"/>
    <cellStyle name="_方策①" xfId="415" xr:uid="{00000000-0005-0000-0000-0000C0000000}"/>
    <cellStyle name="{_x0008_" xfId="416" xr:uid="{00000000-0005-0000-0000-0000C1000000}"/>
    <cellStyle name="{_x0008_?mad?Bid?_x000f_Normal_Certs Q2?" xfId="417" xr:uid="{00000000-0005-0000-0000-0000C2000000}"/>
    <cellStyle name="’?・ [0.00]_laroux" xfId="70" xr:uid="{00000000-0005-0000-0000-0000C3000000}"/>
    <cellStyle name="’?・![0.00]_laroux" xfId="418" xr:uid="{00000000-0005-0000-0000-0000C4000000}"/>
    <cellStyle name="’?・_laroux" xfId="71" xr:uid="{00000000-0005-0000-0000-0000C5000000}"/>
    <cellStyle name="’?? [0.00]_laroux" xfId="72" xr:uid="{00000000-0005-0000-0000-0000C6000000}"/>
    <cellStyle name="’??_laroux" xfId="73" xr:uid="{00000000-0005-0000-0000-0000C7000000}"/>
    <cellStyle name="’ส [0.00]_laroux" xfId="419" xr:uid="{00000000-0005-0000-0000-0000C8000000}"/>
    <cellStyle name="’ส_laroux" xfId="420" xr:uid="{00000000-0005-0000-0000-0000C9000000}"/>
    <cellStyle name="\P" xfId="2" xr:uid="{00000000-0005-0000-0000-0000CA000000}"/>
    <cellStyle name="\P 2" xfId="2795" xr:uid="{00000000-0005-0000-0000-0000CB000000}"/>
    <cellStyle name="\P 3" xfId="5271" xr:uid="{00000000-0005-0000-0000-0000CC000000}"/>
    <cellStyle name="\P!" xfId="421" xr:uid="{00000000-0005-0000-0000-0000CD000000}"/>
    <cellStyle name="\P?_実行計画書_1??_x0010_標準_実施ｽｹｼﾞｭｰﾙ?ﾃ?_x000f_標準_手順書表紙?_x0001_b?_x0014_標準_首藤PGM管理ｸP?ﾌ?b?_x001e_標準_首藤PGM管理ｸﾞﾗﾌ（再見積）?_x001c_標準_首藤PGM管理ｸﾞﾗﾌ（当初）?b?_x0016_標準_首藤進捗管理ｸﾞﾗﾌ ?`ｸD[_x000a__x0002_b?,ﾘﾃ?_x001a__x0002_b?碩ﾃ?*" xfId="422" xr:uid="{00000000-0005-0000-0000-0000CE000000}"/>
    <cellStyle name="\P_2012年度 保全担当者資料" xfId="423" xr:uid="{00000000-0005-0000-0000-0000CF000000}"/>
    <cellStyle name="=C:\WINDOWS\SYSTEM32\COMMAND.COM" xfId="424" xr:uid="{00000000-0005-0000-0000-0000D0000000}"/>
    <cellStyle name="⌀" xfId="425" xr:uid="{00000000-0005-0000-0000-0000D1000000}"/>
    <cellStyle name="⌀_2012年度 保全担当者資料" xfId="426" xr:uid="{00000000-0005-0000-0000-0000D2000000}"/>
    <cellStyle name="⌀_短計補正" xfId="427" xr:uid="{00000000-0005-0000-0000-0000D3000000}"/>
    <cellStyle name="⌀_別紙①-2 14年度ビル商品出庫計画" xfId="428" xr:uid="{00000000-0005-0000-0000-0000D4000000}"/>
    <cellStyle name="▲" xfId="74" xr:uid="{00000000-0005-0000-0000-0000D5000000}"/>
    <cellStyle name="▲ 2" xfId="2796" xr:uid="{00000000-0005-0000-0000-0000D6000000}"/>
    <cellStyle name="▲ 3" xfId="5272" xr:uid="{00000000-0005-0000-0000-0000D7000000}"/>
    <cellStyle name="▲_   建LT短縮" xfId="2927" xr:uid="{00000000-0005-0000-0000-0000D8000000}"/>
    <cellStyle name="▲_   建LT短縮 2" xfId="2928" xr:uid="{00000000-0005-0000-0000-0000D9000000}"/>
    <cellStyle name="▲_   建LT短縮 2 2" xfId="2929" xr:uid="{00000000-0005-0000-0000-0000DA000000}"/>
    <cellStyle name="▲_   建LT短縮 2 2 2" xfId="2930" xr:uid="{00000000-0005-0000-0000-0000DB000000}"/>
    <cellStyle name="▲_   建LT短縮 2 2 2 2" xfId="2931" xr:uid="{00000000-0005-0000-0000-0000DC000000}"/>
    <cellStyle name="▲_   建LT短縮 2 2 3" xfId="2932" xr:uid="{00000000-0005-0000-0000-0000DD000000}"/>
    <cellStyle name="▲_   建LT短縮 2 2 3 2" xfId="2933" xr:uid="{00000000-0005-0000-0000-0000DE000000}"/>
    <cellStyle name="▲_   建LT短縮 2 2 3 2 2" xfId="2934" xr:uid="{00000000-0005-0000-0000-0000DF000000}"/>
    <cellStyle name="▲_   建LT短縮 2 2 3 3" xfId="2935" xr:uid="{00000000-0005-0000-0000-0000E0000000}"/>
    <cellStyle name="▲_   建LT短縮 2 2 4" xfId="2936" xr:uid="{00000000-0005-0000-0000-0000E1000000}"/>
    <cellStyle name="▲_   建LT短縮 2 3" xfId="2937" xr:uid="{00000000-0005-0000-0000-0000E2000000}"/>
    <cellStyle name="▲_   建LT短縮 3" xfId="2938" xr:uid="{00000000-0005-0000-0000-0000E3000000}"/>
    <cellStyle name="▲_(案)6月発売 アルミ ロフトはしご 量産試作ＤＲ開催案内" xfId="429" xr:uid="{00000000-0005-0000-0000-0000E4000000}"/>
    <cellStyle name="▲_(樺山工務店) 原価検討依頼資料" xfId="430" xr:uid="{00000000-0005-0000-0000-0000E5000000}"/>
    <cellStyle name="▲_（原紙）ｴﾙｸﾎｰﾑｽﾞ窓枠特注発注書0411" xfId="431" xr:uid="{00000000-0005-0000-0000-0000E6000000}"/>
    <cellStyle name="▲_（修正）中期計画案" xfId="432" xr:uid="{00000000-0005-0000-0000-0000E7000000}"/>
    <cellStyle name="▲_(中野)0609方針管理フォローシート " xfId="433" xr:uid="{00000000-0005-0000-0000-0000E8000000}"/>
    <cellStyle name="▲_(東昌建設) 原価検討依頼書" xfId="434" xr:uid="{00000000-0005-0000-0000-0000E9000000}"/>
    <cellStyle name="▲_《PL枠》12年度目指すべき姿" xfId="435" xr:uid="{00000000-0005-0000-0000-0000EA000000}"/>
    <cellStyle name="▲_《PL枠》12年度目指すべき姿 2" xfId="5474" xr:uid="{00000000-0005-0000-0000-0000EB000000}"/>
    <cellStyle name="▲_《ベルスク２》12年度目指すべき姿" xfId="436" xr:uid="{00000000-0005-0000-0000-0000EC000000}"/>
    <cellStyle name="▲_《ベルスク２》12年度目指すべき姿 2" xfId="5475" xr:uid="{00000000-0005-0000-0000-0000ED000000}"/>
    <cellStyle name="▲_【0801改版】総経理断会" xfId="2939" xr:uid="{00000000-0005-0000-0000-0000EE000000}"/>
    <cellStyle name="▲_【0801改版】総経理断会 2" xfId="2940" xr:uid="{00000000-0005-0000-0000-0000EF000000}"/>
    <cellStyle name="▲_【0801改版】総経理断会 2 2" xfId="2941" xr:uid="{00000000-0005-0000-0000-0000F0000000}"/>
    <cellStyle name="▲_【0801改版】総経理断会 2 2 2" xfId="2942" xr:uid="{00000000-0005-0000-0000-0000F1000000}"/>
    <cellStyle name="▲_【0801改版】総経理断会 2 2 2 2" xfId="2943" xr:uid="{00000000-0005-0000-0000-0000F2000000}"/>
    <cellStyle name="▲_【0801改版】総経理断会 2 2 3" xfId="2944" xr:uid="{00000000-0005-0000-0000-0000F3000000}"/>
    <cellStyle name="▲_【0801改版】総経理断会 2 2 3 2" xfId="2945" xr:uid="{00000000-0005-0000-0000-0000F4000000}"/>
    <cellStyle name="▲_【0801改版】総経理断会 2 2 3 2 2" xfId="2946" xr:uid="{00000000-0005-0000-0000-0000F5000000}"/>
    <cellStyle name="▲_【0801改版】総経理断会 2 2 3 3" xfId="2947" xr:uid="{00000000-0005-0000-0000-0000F6000000}"/>
    <cellStyle name="▲_【0801改版】総経理断会 2 2 4" xfId="2948" xr:uid="{00000000-0005-0000-0000-0000F7000000}"/>
    <cellStyle name="▲_【0801改版】総経理断会 2 3" xfId="2949" xr:uid="{00000000-0005-0000-0000-0000F8000000}"/>
    <cellStyle name="▲_【0801改版】総経理断会 3" xfId="2950" xr:uid="{00000000-0005-0000-0000-0000F9000000}"/>
    <cellStyle name="▲_【0907ライン別現象別比較】" xfId="437" xr:uid="{00000000-0005-0000-0000-0000FA000000}"/>
    <cellStyle name="▲_【130124】製品移行計画（案）" xfId="438" xr:uid="{00000000-0005-0000-0000-0000FB000000}"/>
    <cellStyle name="▲_【13計画】工場クレーム費【工場別グラフ（品質）】" xfId="439" xr:uid="{00000000-0005-0000-0000-0000FC000000}"/>
    <cellStyle name="▲_【PJ-3】不稼動要因分析ﾘｽﾄ（080821）1" xfId="440" xr:uid="{00000000-0005-0000-0000-0000FD000000}"/>
    <cellStyle name="▲_【PRO-SE・RFシールpj】加工費見積" xfId="441" xr:uid="{00000000-0005-0000-0000-0000FE000000}"/>
    <cellStyle name="▲_【プレナス枠】12年度ベクトル会" xfId="442" xr:uid="{00000000-0005-0000-0000-0000FF000000}"/>
    <cellStyle name="▲_【安田全体スケジュール】" xfId="443" xr:uid="{00000000-0005-0000-0000-000000010000}"/>
    <cellStyle name="▲_【意思決定会議資料】ﾍﾞｽﾄﾊｳｼﾞﾝｸﾞ様向け（FL）" xfId="444" xr:uid="{00000000-0005-0000-0000-000001010000}"/>
    <cellStyle name="▲_【確定版】060207 WLﾃﾞｻﾞｲﾝ別設定一覧" xfId="2951" xr:uid="{00000000-0005-0000-0000-000002010000}"/>
    <cellStyle name="▲_【確定版】060207 WLﾃﾞｻﾞｲﾝ別設定一覧 2" xfId="2952" xr:uid="{00000000-0005-0000-0000-000003010000}"/>
    <cellStyle name="▲_【確定版】060207 WLﾃﾞｻﾞｲﾝ別設定一覧 2 2" xfId="2953" xr:uid="{00000000-0005-0000-0000-000004010000}"/>
    <cellStyle name="▲_【確定版】060207 WLﾃﾞｻﾞｲﾝ別設定一覧 2 2 2" xfId="2954" xr:uid="{00000000-0005-0000-0000-000005010000}"/>
    <cellStyle name="▲_【確定版】060207 WLﾃﾞｻﾞｲﾝ別設定一覧 2 2 2 2" xfId="2955" xr:uid="{00000000-0005-0000-0000-000006010000}"/>
    <cellStyle name="▲_【確定版】060207 WLﾃﾞｻﾞｲﾝ別設定一覧 2 2 3" xfId="2956" xr:uid="{00000000-0005-0000-0000-000007010000}"/>
    <cellStyle name="▲_【確定版】060207 WLﾃﾞｻﾞｲﾝ別設定一覧 2 2 3 2" xfId="2957" xr:uid="{00000000-0005-0000-0000-000008010000}"/>
    <cellStyle name="▲_【確定版】060207 WLﾃﾞｻﾞｲﾝ別設定一覧 2 2 3 2 2" xfId="2958" xr:uid="{00000000-0005-0000-0000-000009010000}"/>
    <cellStyle name="▲_【確定版】060207 WLﾃﾞｻﾞｲﾝ別設定一覧 2 2 3 3" xfId="2959" xr:uid="{00000000-0005-0000-0000-00000A010000}"/>
    <cellStyle name="▲_【確定版】060207 WLﾃﾞｻﾞｲﾝ別設定一覧 2 2 4" xfId="2960" xr:uid="{00000000-0005-0000-0000-00000B010000}"/>
    <cellStyle name="▲_【確定版】060207 WLﾃﾞｻﾞｲﾝ別設定一覧 2 3" xfId="2961" xr:uid="{00000000-0005-0000-0000-00000C010000}"/>
    <cellStyle name="▲_【確定版】060207 WLﾃﾞｻﾞｲﾝ別設定一覧 3" xfId="2962" xr:uid="{00000000-0005-0000-0000-00000D010000}"/>
    <cellStyle name="▲_【確定版】７月量予測" xfId="445" xr:uid="{00000000-0005-0000-0000-00000E010000}"/>
    <cellStyle name="▲_【業連】生本ビ 12-36 13年度ﾋﾞﾙ短計ｶﾞｲﾄﾞﾗｲﾝ" xfId="446" xr:uid="{00000000-0005-0000-0000-00000F010000}"/>
    <cellStyle name="▲_【業連】生本ビ 12-36 13年度ﾋﾞﾙ短計ｶﾞｲﾄﾞﾗｲﾝ 2" xfId="5476" xr:uid="{00000000-0005-0000-0000-000010010000}"/>
    <cellStyle name="▲_【原価検討結果】ｴﾙｸﾎｰﾑｽﾞ様向け（J色追加)" xfId="447" xr:uid="{00000000-0005-0000-0000-000011010000}"/>
    <cellStyle name="▲_【最新】0609直間区分別人員改定（土浦工場）" xfId="448" xr:uid="{00000000-0005-0000-0000-000012010000}"/>
    <cellStyle name="▲_【最新】0609直間区分別人員改定（土浦工場）_【13計画】工場クレーム費【工場別グラフ（品質）】" xfId="449" xr:uid="{00000000-0005-0000-0000-000013010000}"/>
    <cellStyle name="▲_【最新】0609直間区分別人員改定（土浦工場）_【業連】生本ビ 12-36 13年度ﾋﾞﾙ短計ｶﾞｲﾄﾞﾗｲﾝ" xfId="450" xr:uid="{00000000-0005-0000-0000-000014010000}"/>
    <cellStyle name="▲_【最新】0609直間区分別人員改定（土浦工場）_【業連】生本ビ 12-36 13年度ﾋﾞﾙ短計ｶﾞｲﾄﾞﾗｲﾝ 2" xfId="5477" xr:uid="{00000000-0005-0000-0000-000015010000}"/>
    <cellStyle name="▲_【最新】0609直間区分別人員改定（土浦工場）_2012年度 保全担当者資料" xfId="451" xr:uid="{00000000-0005-0000-0000-000016010000}"/>
    <cellStyle name="▲_【最新】0609直間区分別人員改定（土浦工場）_2012年度 保全担当者資料 2" xfId="5478" xr:uid="{00000000-0005-0000-0000-000017010000}"/>
    <cellStyle name="▲_【暫定版】10年3月量予測" xfId="452" xr:uid="{00000000-0005-0000-0000-000018010000}"/>
    <cellStyle name="▲_【仕様書】ｴﾙｸﾎｰﾑｽﾞ様向け（J色追加)" xfId="453" xr:uid="{00000000-0005-0000-0000-000019010000}"/>
    <cellStyle name="▲_【事例①】間接人員削減活動報告" xfId="454" xr:uid="{00000000-0005-0000-0000-00001A010000}"/>
    <cellStyle name="▲_【事例①】間接人員削減活動報告 2" xfId="5479" xr:uid="{00000000-0005-0000-0000-00001B010000}"/>
    <cellStyle name="▲_【初版】木質資材性能検査規程 " xfId="455" xr:uid="{00000000-0005-0000-0000-00001C010000}"/>
    <cellStyle name="▲_【初版】木質資材性能検査規程  2" xfId="5480" xr:uid="{00000000-0005-0000-0000-00001D010000}"/>
    <cellStyle name="▲_【全体】0810スケジュール" xfId="456" xr:uid="{00000000-0005-0000-0000-00001E010000}"/>
    <cellStyle name="▲_【送信用】0108総経理報告" xfId="2963" xr:uid="{00000000-0005-0000-0000-00001F010000}"/>
    <cellStyle name="▲_【土間工事】現場管理者研修ｶﾘｷｭﾗﾑ1" xfId="457" xr:uid="{00000000-0005-0000-0000-000020010000}"/>
    <cellStyle name="▲_【土間工事】現場管理者研修ｶﾘｷｭﾗﾑ1 2" xfId="2964" xr:uid="{00000000-0005-0000-0000-000021010000}"/>
    <cellStyle name="▲_【特販支店】旧値保証継続先管理の件" xfId="458" xr:uid="{00000000-0005-0000-0000-000022010000}"/>
    <cellStyle name="▲_【販売計画】ｴﾙｸﾎｰﾑｽﾞ㈱様向け 建具（J色追加）" xfId="459" xr:uid="{00000000-0005-0000-0000-000023010000}"/>
    <cellStyle name="▲_【販売計画】ｴﾙｸﾎｰﾑｽﾞ㈱様向け 窓枠（J色追加）" xfId="460" xr:uid="{00000000-0005-0000-0000-000024010000}"/>
    <cellStyle name="▲_【品質保証レベル（外観含み）】（製造課定義）xls" xfId="461" xr:uid="{00000000-0005-0000-0000-000025010000}"/>
    <cellStyle name="▲_【品質保証レベル】（製造課定義）xls" xfId="462" xr:uid="{00000000-0005-0000-0000-000026010000}"/>
    <cellStyle name="▲_【品質保証レベル向上（まとめ）】" xfId="463" xr:uid="{00000000-0005-0000-0000-000027010000}"/>
    <cellStyle name="▲_【有賀】09なし 間違い方策展開系統図 " xfId="464" xr:uid="{00000000-0005-0000-0000-000028010000}"/>
    <cellStyle name="▲_■【12ライン別】製造原価率推移グラフ" xfId="465" xr:uid="{00000000-0005-0000-0000-000029010000}"/>
    <cellStyle name="▲_●【資料】課題一覧表（K1）" xfId="466" xr:uid="{00000000-0005-0000-0000-00002A010000}"/>
    <cellStyle name="▲_★供給工場決定依頼(ＤＢ')" xfId="467" xr:uid="{00000000-0005-0000-0000-00002B010000}"/>
    <cellStyle name="▲_★量管理資料05.4-3" xfId="468" xr:uid="{00000000-0005-0000-0000-00002C010000}"/>
    <cellStyle name="▲_0.51仮【確定版】２月量予測" xfId="469" xr:uid="{00000000-0005-0000-0000-00002D010000}"/>
    <cellStyle name="▲_00.BR・TR他 習熟度集計表" xfId="470" xr:uid="{00000000-0005-0000-0000-00002E010000}"/>
    <cellStyle name="▲_00.BR・TR他 習熟度集計表 2" xfId="2965" xr:uid="{00000000-0005-0000-0000-00002F010000}"/>
    <cellStyle name="▲_00.技術スタッフ：内装スキル確認表" xfId="471" xr:uid="{00000000-0005-0000-0000-000030010000}"/>
    <cellStyle name="▲_00.技術スタッフ：内装スキル確認表 2" xfId="2966" xr:uid="{00000000-0005-0000-0000-000031010000}"/>
    <cellStyle name="▲_00.現場管理者：内装スキル確認表（集計）" xfId="472" xr:uid="{00000000-0005-0000-0000-000032010000}"/>
    <cellStyle name="▲_00.現場管理者：内装スキル確認表（集計） 2" xfId="2967" xr:uid="{00000000-0005-0000-0000-000033010000}"/>
    <cellStyle name="▲_0112総経理報告" xfId="2968" xr:uid="{00000000-0005-0000-0000-000034010000}"/>
    <cellStyle name="▲_0127タイ出張報告書（ＴＩＭＥＳ湊）" xfId="473" xr:uid="{00000000-0005-0000-0000-000035010000}"/>
    <cellStyle name="▲_０２／１０方針" xfId="75" xr:uid="{00000000-0005-0000-0000-000036010000}"/>
    <cellStyle name="▲_０２／１０方針 2" xfId="2969" xr:uid="{00000000-0005-0000-0000-000037010000}"/>
    <cellStyle name="▲_０２／１０方針 2 2" xfId="2970" xr:uid="{00000000-0005-0000-0000-000038010000}"/>
    <cellStyle name="▲_０２／１０方針 3" xfId="2971" xr:uid="{00000000-0005-0000-0000-000039010000}"/>
    <cellStyle name="▲_０２／１０方針 3 2" xfId="2972" xr:uid="{00000000-0005-0000-0000-00003A010000}"/>
    <cellStyle name="▲_０２／１０方針 3 2 2" xfId="2973" xr:uid="{00000000-0005-0000-0000-00003B010000}"/>
    <cellStyle name="▲_０２／１０方針 3 3" xfId="2974" xr:uid="{00000000-0005-0000-0000-00003C010000}"/>
    <cellStyle name="▲_０２／１０方針 4" xfId="2975" xr:uid="{00000000-0005-0000-0000-00003D010000}"/>
    <cellStyle name="▲_０２／１０方針_(SR海外)_工程台帳" xfId="474" xr:uid="{00000000-0005-0000-0000-00003E010000}"/>
    <cellStyle name="▲_０２／１０方針_(SR海外)_工程台帳 2" xfId="5481" xr:uid="{00000000-0005-0000-0000-00003F010000}"/>
    <cellStyle name="▲_０２／１０方針_《PL枠》12年度目指すべき姿" xfId="475" xr:uid="{00000000-0005-0000-0000-000040010000}"/>
    <cellStyle name="▲_０２／１０方針_《PL枠》12年度目指すべき姿 2" xfId="5482" xr:uid="{00000000-0005-0000-0000-000041010000}"/>
    <cellStyle name="▲_０２／１０方針_《ベルスク２》12年度目指すべき姿" xfId="476" xr:uid="{00000000-0005-0000-0000-000042010000}"/>
    <cellStyle name="▲_０２／１０方針_《ベルスク２》12年度目指すべき姿 2" xfId="5483" xr:uid="{00000000-0005-0000-0000-000043010000}"/>
    <cellStyle name="▲_０２／１０方針_【0907ライン別現象別比較】" xfId="477" xr:uid="{00000000-0005-0000-0000-000044010000}"/>
    <cellStyle name="▲_０２／１０方針_【業連】生本ビ 12-36 13年度ﾋﾞﾙ短計ｶﾞｲﾄﾞﾗｲﾝ" xfId="478" xr:uid="{00000000-0005-0000-0000-000045010000}"/>
    <cellStyle name="▲_０２／１０方針_【業連】生本ビ 12-36 13年度ﾋﾞﾙ短計ｶﾞｲﾄﾞﾗｲﾝ 2" xfId="5484" xr:uid="{00000000-0005-0000-0000-000046010000}"/>
    <cellStyle name="▲_０２／１０方針_【清水B】11年度フォローシート【品質】" xfId="479" xr:uid="{00000000-0005-0000-0000-000047010000}"/>
    <cellStyle name="▲_０２／１０方針_【品質保証レベル（外観含み）】（製造課定義）xls" xfId="480" xr:uid="{00000000-0005-0000-0000-000048010000}"/>
    <cellStyle name="▲_０２／１０方針_【品質保証レベル向上（まとめ）】" xfId="481" xr:uid="{00000000-0005-0000-0000-000049010000}"/>
    <cellStyle name="▲_０２／１０方針_【有賀】09なし 間違い方策展開系統図 " xfId="482" xr:uid="{00000000-0005-0000-0000-00004A010000}"/>
    <cellStyle name="▲_０２／１０方針_■【12ライン別】製造原価率推移グラフ" xfId="483" xr:uid="{00000000-0005-0000-0000-00004B010000}"/>
    <cellStyle name="▲_０２／１０方針_０５年度方針実績" xfId="484" xr:uid="{00000000-0005-0000-0000-00004C010000}"/>
    <cellStyle name="▲_０２／１０方針_110706【清水Ｂ品質保証レベル向上進捗シート】xls" xfId="485" xr:uid="{00000000-0005-0000-0000-00004D010000}"/>
    <cellStyle name="▲_０２／１０方針_12年度本部長診断現場報告ドア枠" xfId="486" xr:uid="{00000000-0005-0000-0000-00004E010000}"/>
    <cellStyle name="▲_０２／１０方針_12年度本部長診断現場報告ドア枠 2" xfId="5485" xr:uid="{00000000-0005-0000-0000-00004F010000}"/>
    <cellStyle name="▲_０２／１０方針_13年度上期生産性計画" xfId="487" xr:uid="{00000000-0005-0000-0000-000050010000}"/>
    <cellStyle name="▲_０２／１０方針_13年度反省書(SR係)" xfId="488" xr:uid="{00000000-0005-0000-0000-000051010000}"/>
    <cellStyle name="▲_０２／１０方針_35回品質実践研テーマ" xfId="489" xr:uid="{00000000-0005-0000-0000-000052010000}"/>
    <cellStyle name="▲_０２／１０方針_ＢＰ説明資料" xfId="490" xr:uid="{00000000-0005-0000-0000-000053010000}"/>
    <cellStyle name="▲_０２／１０方針_FA" xfId="491" xr:uid="{00000000-0005-0000-0000-000054010000}"/>
    <cellStyle name="▲_０２／１０方針_FA 2" xfId="5486" xr:uid="{00000000-0005-0000-0000-000055010000}"/>
    <cellStyle name="▲_０２／１０方針_Ｈ改善ＳＨ" xfId="492" xr:uid="{00000000-0005-0000-0000-000056010000}"/>
    <cellStyle name="▲_０２／１０方針_Sheet1" xfId="493" xr:uid="{00000000-0005-0000-0000-000057010000}"/>
    <cellStyle name="▲_０２／１０方針_TOPS実践スケジュール（土浦_K" xfId="494" xr:uid="{00000000-0005-0000-0000-000058010000}"/>
    <cellStyle name="▲_０２／１０方針_アトモス報告書買取残" xfId="495" xr:uid="{00000000-0005-0000-0000-000059010000}"/>
    <cellStyle name="▲_０２／１０方針_アトモス報告書買取残_14年度下期見直し短計原価ｶﾞｲﾄﾞ" xfId="496" xr:uid="{00000000-0005-0000-0000-00005A010000}"/>
    <cellStyle name="▲_０２／１０方針_アトモス報告書買取残_別紙①-2 14年度ビル商品出庫計画" xfId="497" xr:uid="{00000000-0005-0000-0000-00005B010000}"/>
    <cellStyle name="▲_０２／１０方針_ページ1" xfId="498" xr:uid="{00000000-0005-0000-0000-00005C010000}"/>
    <cellStyle name="▲_０２／１０方針_ページ1 2" xfId="5487" xr:uid="{00000000-0005-0000-0000-00005D010000}"/>
    <cellStyle name="▲_０２／１０方針_リシェントＴＯＰＳ" xfId="499" xr:uid="{00000000-0005-0000-0000-00005E010000}"/>
    <cellStyle name="▲_０２／１０方針_リシェントＴＯＰＳ 2" xfId="5488" xr:uid="{00000000-0005-0000-0000-00005F010000}"/>
    <cellStyle name="▲_０２／１０方針_活動内容(13年振返り14年進め方）" xfId="500" xr:uid="{00000000-0005-0000-0000-000060010000}"/>
    <cellStyle name="▲_０２／１０方針_活動内容(13年振返り14年進め方） 2" xfId="5489" xr:uid="{00000000-0005-0000-0000-000061010000}"/>
    <cellStyle name="▲_０２／１０方針_管轄ﾗｲﾝ構成1" xfId="501" xr:uid="{00000000-0005-0000-0000-000062010000}"/>
    <cellStyle name="▲_０２／１０方針_工場長診断ドア" xfId="502" xr:uid="{00000000-0005-0000-0000-000063010000}"/>
    <cellStyle name="▲_０２／１０方針_神奈川工務体制" xfId="503" xr:uid="{00000000-0005-0000-0000-000064010000}"/>
    <cellStyle name="▲_０２／１０方針_設技12-004" xfId="504" xr:uid="{00000000-0005-0000-0000-000065010000}"/>
    <cellStyle name="▲_０２／１０方針_専務診断報告資料(05.03.30)xls" xfId="505" xr:uid="{00000000-0005-0000-0000-000066010000}"/>
    <cellStyle name="▲_０２／１０方針_専務診断報告資料（０６年３月度）" xfId="506" xr:uid="{00000000-0005-0000-0000-000067010000}"/>
    <cellStyle name="▲_０２／１０方針_第33回品質実践研テーマ" xfId="507" xr:uid="{00000000-0005-0000-0000-000068010000}"/>
    <cellStyle name="▲_０２／１０方針_第34回品質実践研テーマ" xfId="508" xr:uid="{00000000-0005-0000-0000-000069010000}"/>
    <cellStyle name="▲_０２／１０方針_第36回品質実践研テーマ" xfId="509" xr:uid="{00000000-0005-0000-0000-00006A010000}"/>
    <cellStyle name="▲_０２／１０方針_第37回品質実践件テーマ（玄収扉）" xfId="510" xr:uid="{00000000-0005-0000-0000-00006B010000}"/>
    <cellStyle name="▲_０２／１０方針_第37回品質実践研テーマ" xfId="511" xr:uid="{00000000-0005-0000-0000-00006C010000}"/>
    <cellStyle name="▲_０２／１０方針_第38回品質実践研テーマ" xfId="512" xr:uid="{00000000-0005-0000-0000-00006D010000}"/>
    <cellStyle name="▲_０２／１０方針_第39回品質実践研テーマ（クロ本体）" xfId="513" xr:uid="{00000000-0005-0000-0000-00006E010000}"/>
    <cellStyle name="▲_０２／１０方針_第40回品質実践研テーマ" xfId="514" xr:uid="{00000000-0005-0000-0000-00006F010000}"/>
    <cellStyle name="▲_０２／１０方針_第４１回品質実践研（養生）" xfId="515" xr:uid="{00000000-0005-0000-0000-000070010000}"/>
    <cellStyle name="▲_０２／１０方針_第41回品質実践研テーマ（玄収扉）" xfId="516" xr:uid="{00000000-0005-0000-0000-000071010000}"/>
    <cellStyle name="▲_０２／１０方針_品質レベル（ドア枠Ｂ）" xfId="517" xr:uid="{00000000-0005-0000-0000-000072010000}"/>
    <cellStyle name="▲_０２／１０方針_本部長診断会ドア" xfId="518" xr:uid="{00000000-0005-0000-0000-000073010000}"/>
    <cellStyle name="▲_031104 賃貸住宅向け商品投資回収資料（最終製販時）" xfId="519" xr:uid="{00000000-0005-0000-0000-000074010000}"/>
    <cellStyle name="▲_040317 SL価格ｼﾐｭ" xfId="520" xr:uid="{00000000-0005-0000-0000-000075010000}"/>
    <cellStyle name="▲_040319 SL価格ｼﾐｭ(企画書用)" xfId="521" xr:uid="{00000000-0005-0000-0000-000076010000}"/>
    <cellStyle name="▲_040423 次期SL開発ﾊﾟｽﾎﾟｰﾄ(価格協議)" xfId="522" xr:uid="{00000000-0005-0000-0000-000077010000}"/>
    <cellStyle name="▲_040426 次期SL開発ﾊﾟｽﾎﾟｰﾄ(裏データ)" xfId="523" xr:uid="{00000000-0005-0000-0000-000078010000}"/>
    <cellStyle name="▲_0406北東北診断会資料" xfId="524" xr:uid="{00000000-0005-0000-0000-000079010000}"/>
    <cellStyle name="▲_040705OR切替説明資料" xfId="525" xr:uid="{00000000-0005-0000-0000-00007A010000}"/>
    <cellStyle name="▲_040705OR切替説明資料 2" xfId="5490" xr:uid="{00000000-0005-0000-0000-00007B010000}"/>
    <cellStyle name="▲_040705OR切替説明資料_FA" xfId="526" xr:uid="{00000000-0005-0000-0000-00007C010000}"/>
    <cellStyle name="▲_040705OR切替説明資料_FA 2" xfId="5491" xr:uid="{00000000-0005-0000-0000-00007D010000}"/>
    <cellStyle name="▲_040726生準議事録（新ＷＬ第１５回）" xfId="527" xr:uid="{00000000-0005-0000-0000-00007E010000}"/>
    <cellStyle name="▲_040726生準議事録（新ＷＬ第１５回） 2" xfId="5492" xr:uid="{00000000-0005-0000-0000-00007F010000}"/>
    <cellStyle name="▲_040726生準議事録（新ＷＬ第１５回）_【0907ライン別現象別比較】" xfId="528" xr:uid="{00000000-0005-0000-0000-000080010000}"/>
    <cellStyle name="▲_040726生準議事録（新ＷＬ第１５回）_【品質保証レベル（外観含み）】（製造課定義）xls" xfId="529" xr:uid="{00000000-0005-0000-0000-000081010000}"/>
    <cellStyle name="▲_040726生準議事録（新ＷＬ第１５回）_【品質保証レベル】（製造課定義）xls" xfId="530" xr:uid="{00000000-0005-0000-0000-000082010000}"/>
    <cellStyle name="▲_040726生準議事録（新ＷＬ第１５回）_【品質保証レベル向上（まとめ）】" xfId="531" xr:uid="{00000000-0005-0000-0000-000083010000}"/>
    <cellStyle name="▲_040726生準議事録（新ＷＬ第１５回）_【有賀】09なし 間違い方策展開系統図 " xfId="532" xr:uid="{00000000-0005-0000-0000-000084010000}"/>
    <cellStyle name="▲_040726生準議事録（新ＷＬ第１５回）_35回品質実践研テーマ" xfId="533" xr:uid="{00000000-0005-0000-0000-000085010000}"/>
    <cellStyle name="▲_040726生準議事録（新ＷＬ第１５回）_FA" xfId="534" xr:uid="{00000000-0005-0000-0000-000086010000}"/>
    <cellStyle name="▲_040726生準議事録（新ＷＬ第１５回）_FA 2" xfId="5493" xr:uid="{00000000-0005-0000-0000-000087010000}"/>
    <cellStyle name="▲_040726生準議事録（新ＷＬ第１５回）_玄収扉レベル向上進捗シート" xfId="535" xr:uid="{00000000-0005-0000-0000-000088010000}"/>
    <cellStyle name="▲_040726生準議事録（新ＷＬ第１５回）_第33回品質実践研テーマ" xfId="536" xr:uid="{00000000-0005-0000-0000-000089010000}"/>
    <cellStyle name="▲_040726生準議事録（新ＷＬ第１５回）_第34回品質実践研テーマ" xfId="537" xr:uid="{00000000-0005-0000-0000-00008A010000}"/>
    <cellStyle name="▲_040726生準議事録（新ＷＬ第１５回）_第36回品質実践研テーマ" xfId="538" xr:uid="{00000000-0005-0000-0000-00008B010000}"/>
    <cellStyle name="▲_040726生準議事録（新ＷＬ第１５回）_第37回品質実践件テーマ（玄収扉）" xfId="539" xr:uid="{00000000-0005-0000-0000-00008C010000}"/>
    <cellStyle name="▲_040726生準議事録（新ＷＬ第１５回）_第37回品質実践研テーマ" xfId="540" xr:uid="{00000000-0005-0000-0000-00008D010000}"/>
    <cellStyle name="▲_040726生準議事録（新ＷＬ第１５回）_第38回品質実践研テーマ" xfId="541" xr:uid="{00000000-0005-0000-0000-00008E010000}"/>
    <cellStyle name="▲_040726生準議事録（新ＷＬ第１５回）_第39回品質実践研テーマ（クロ本体）" xfId="542" xr:uid="{00000000-0005-0000-0000-00008F010000}"/>
    <cellStyle name="▲_040726生準議事録（新ＷＬ第１５回）_第40回品質実践研テーマ" xfId="543" xr:uid="{00000000-0005-0000-0000-000090010000}"/>
    <cellStyle name="▲_040726生準議事録（新ＷＬ第１５回）_第４１回品質実践研（養生）" xfId="544" xr:uid="{00000000-0005-0000-0000-000091010000}"/>
    <cellStyle name="▲_040726生準議事録（新ＷＬ第１５回）_第41回品質実践研テーマ（玄収扉）" xfId="545" xr:uid="{00000000-0005-0000-0000-000092010000}"/>
    <cellStyle name="▲_040726生準議事録（新ＷＬ第１５回）_品質レベル（ドア枠Ｂ）" xfId="546" xr:uid="{00000000-0005-0000-0000-000093010000}"/>
    <cellStyle name="▲_040726量産試作課題進捗（製造２課）" xfId="547" xr:uid="{00000000-0005-0000-0000-000094010000}"/>
    <cellStyle name="▲_040726量産試作課題進捗（製造２課） 2" xfId="5494" xr:uid="{00000000-0005-0000-0000-000095010000}"/>
    <cellStyle name="▲_040726量産試作課題進捗（製造２課）_【0907ライン別現象別比較】" xfId="548" xr:uid="{00000000-0005-0000-0000-000096010000}"/>
    <cellStyle name="▲_040726量産試作課題進捗（製造２課）_【品質保証レベル（外観含み）】（製造課定義）xls" xfId="549" xr:uid="{00000000-0005-0000-0000-000097010000}"/>
    <cellStyle name="▲_040726量産試作課題進捗（製造２課）_【品質保証レベル】（製造課定義）xls" xfId="550" xr:uid="{00000000-0005-0000-0000-000098010000}"/>
    <cellStyle name="▲_040726量産試作課題進捗（製造２課）_【品質保証レベル向上（まとめ）】" xfId="551" xr:uid="{00000000-0005-0000-0000-000099010000}"/>
    <cellStyle name="▲_040726量産試作課題進捗（製造２課）_【有賀】09なし 間違い方策展開系統図 " xfId="552" xr:uid="{00000000-0005-0000-0000-00009A010000}"/>
    <cellStyle name="▲_040726量産試作課題進捗（製造２課）_35回品質実践研テーマ" xfId="553" xr:uid="{00000000-0005-0000-0000-00009B010000}"/>
    <cellStyle name="▲_040726量産試作課題進捗（製造２課）_FA" xfId="554" xr:uid="{00000000-0005-0000-0000-00009C010000}"/>
    <cellStyle name="▲_040726量産試作課題進捗（製造２課）_FA 2" xfId="5495" xr:uid="{00000000-0005-0000-0000-00009D010000}"/>
    <cellStyle name="▲_040726量産試作課題進捗（製造２課）_玄収扉レベル向上進捗シート" xfId="555" xr:uid="{00000000-0005-0000-0000-00009E010000}"/>
    <cellStyle name="▲_040726量産試作課題進捗（製造２課）_第33回品質実践研テーマ" xfId="556" xr:uid="{00000000-0005-0000-0000-00009F010000}"/>
    <cellStyle name="▲_040726量産試作課題進捗（製造２課）_第34回品質実践研テーマ" xfId="557" xr:uid="{00000000-0005-0000-0000-0000A0010000}"/>
    <cellStyle name="▲_040726量産試作課題進捗（製造２課）_第36回品質実践研テーマ" xfId="558" xr:uid="{00000000-0005-0000-0000-0000A1010000}"/>
    <cellStyle name="▲_040726量産試作課題進捗（製造２課）_第37回品質実践件テーマ（玄収扉）" xfId="559" xr:uid="{00000000-0005-0000-0000-0000A2010000}"/>
    <cellStyle name="▲_040726量産試作課題進捗（製造２課）_第37回品質実践研テーマ" xfId="560" xr:uid="{00000000-0005-0000-0000-0000A3010000}"/>
    <cellStyle name="▲_040726量産試作課題進捗（製造２課）_第38回品質実践研テーマ" xfId="561" xr:uid="{00000000-0005-0000-0000-0000A4010000}"/>
    <cellStyle name="▲_040726量産試作課題進捗（製造２課）_第39回品質実践研テーマ（クロ本体）" xfId="562" xr:uid="{00000000-0005-0000-0000-0000A5010000}"/>
    <cellStyle name="▲_040726量産試作課題進捗（製造２課）_第40回品質実践研テーマ" xfId="563" xr:uid="{00000000-0005-0000-0000-0000A6010000}"/>
    <cellStyle name="▲_040726量産試作課題進捗（製造２課）_第４１回品質実践研（養生）" xfId="564" xr:uid="{00000000-0005-0000-0000-0000A7010000}"/>
    <cellStyle name="▲_040726量産試作課題進捗（製造２課）_第41回品質実践研テーマ（玄収扉）" xfId="565" xr:uid="{00000000-0005-0000-0000-0000A8010000}"/>
    <cellStyle name="▲_040726量産試作課題進捗（製造２課）_品質レベル（ドア枠Ｂ）" xfId="566" xr:uid="{00000000-0005-0000-0000-0000A9010000}"/>
    <cellStyle name="▲_040817　ＮＦＬ機種別販売数量" xfId="567" xr:uid="{00000000-0005-0000-0000-0000AA010000}"/>
    <cellStyle name="▲_040902生産準備チェックリスト課長チェック（原紙）" xfId="568" xr:uid="{00000000-0005-0000-0000-0000AB010000}"/>
    <cellStyle name="▲_040908四国報告資料" xfId="569" xr:uid="{00000000-0005-0000-0000-0000AC010000}"/>
    <cellStyle name="▲_040913 次期FL開発ﾊﾟｽﾎﾟｰﾄ(最終版)" xfId="570" xr:uid="{00000000-0005-0000-0000-0000AD010000}"/>
    <cellStyle name="▲_040920部長会報告" xfId="571" xr:uid="{00000000-0005-0000-0000-0000AE010000}"/>
    <cellStyle name="▲_040920部長会報告 2" xfId="2797" xr:uid="{00000000-0005-0000-0000-0000AF010000}"/>
    <cellStyle name="▲_040920部長会報告 2 2" xfId="2976" xr:uid="{00000000-0005-0000-0000-0000B0010000}"/>
    <cellStyle name="▲_040920部長会報告 2 2 2" xfId="2977" xr:uid="{00000000-0005-0000-0000-0000B1010000}"/>
    <cellStyle name="▲_040920部長会報告 2 2 2 2" xfId="2978" xr:uid="{00000000-0005-0000-0000-0000B2010000}"/>
    <cellStyle name="▲_040920部長会報告 2 2 3" xfId="2979" xr:uid="{00000000-0005-0000-0000-0000B3010000}"/>
    <cellStyle name="▲_040920部長会報告 2 2 3 2" xfId="2980" xr:uid="{00000000-0005-0000-0000-0000B4010000}"/>
    <cellStyle name="▲_040920部長会報告 2 2 3 2 2" xfId="2981" xr:uid="{00000000-0005-0000-0000-0000B5010000}"/>
    <cellStyle name="▲_040920部長会報告 2 2 3 3" xfId="2982" xr:uid="{00000000-0005-0000-0000-0000B6010000}"/>
    <cellStyle name="▲_040920部長会報告 2 2 4" xfId="2983" xr:uid="{00000000-0005-0000-0000-0000B7010000}"/>
    <cellStyle name="▲_040920部長会報告 2 3" xfId="2984" xr:uid="{00000000-0005-0000-0000-0000B8010000}"/>
    <cellStyle name="▲_040920部長会報告 3" xfId="2985" xr:uid="{00000000-0005-0000-0000-0000B9010000}"/>
    <cellStyle name="▲_040920部長会報告 4" xfId="5273" xr:uid="{00000000-0005-0000-0000-0000BA010000}"/>
    <cellStyle name="▲_040920部長会報告 4 2" xfId="6359" xr:uid="{00000000-0005-0000-0000-0000BB010000}"/>
    <cellStyle name="▲_040920部長会報告 5" xfId="5274" xr:uid="{00000000-0005-0000-0000-0000BC010000}"/>
    <cellStyle name="▲_040920部長会報告 5 2" xfId="6360" xr:uid="{00000000-0005-0000-0000-0000BD010000}"/>
    <cellStyle name="▲_040920部長会報告 6" xfId="5275" xr:uid="{00000000-0005-0000-0000-0000BE010000}"/>
    <cellStyle name="▲_040920部長会報告 6 2" xfId="6361" xr:uid="{00000000-0005-0000-0000-0000BF010000}"/>
    <cellStyle name="▲_040920部長会報告 7" xfId="5276" xr:uid="{00000000-0005-0000-0000-0000C0010000}"/>
    <cellStyle name="▲_040920部長会報告 7 2" xfId="6362" xr:uid="{00000000-0005-0000-0000-0000C1010000}"/>
    <cellStyle name="▲_0410-3北関東統轄支店住器方針" xfId="572" xr:uid="{00000000-0005-0000-0000-0000C2010000}"/>
    <cellStyle name="▲_0411Ｇ５０（大連）" xfId="573" xr:uid="{00000000-0005-0000-0000-0000C3010000}"/>
    <cellStyle name="▲_0411Ｇ５０（大連） 2" xfId="2798" xr:uid="{00000000-0005-0000-0000-0000C4010000}"/>
    <cellStyle name="▲_0411Ｇ５０（大連） 3" xfId="5277" xr:uid="{00000000-0005-0000-0000-0000C5010000}"/>
    <cellStyle name="▲_050125 リビ建部会用品質実績" xfId="574" xr:uid="{00000000-0005-0000-0000-0000C6010000}"/>
    <cellStyle name="▲_050125 リビ建部会用品質実績 2" xfId="2799" xr:uid="{00000000-0005-0000-0000-0000C7010000}"/>
    <cellStyle name="▲_050125 リビ建部会用品質実績 3" xfId="5278" xr:uid="{00000000-0005-0000-0000-0000C8010000}"/>
    <cellStyle name="▲_050128タカノブ フレーム収納量産試作機種明細1" xfId="575" xr:uid="{00000000-0005-0000-0000-0000C9010000}"/>
    <cellStyle name="▲_05-024 ロフトはしご 供給工場決定書" xfId="576" xr:uid="{00000000-0005-0000-0000-0000CA010000}"/>
    <cellStyle name="▲_05-026② 06WL(収納以外)国内" xfId="577" xr:uid="{00000000-0005-0000-0000-0000CB010000}"/>
    <cellStyle name="▲_050301次期 FL__開発ﾊﾟｽﾎﾟｰﾄ(0504発売版)投資変更" xfId="578" xr:uid="{00000000-0005-0000-0000-0000CC010000}"/>
    <cellStyle name="▲_050301賃貸売上利益計画" xfId="579" xr:uid="{00000000-0005-0000-0000-0000CD010000}"/>
    <cellStyle name="▲_050704【ＮＦＬ】機種別販売数量(ﾄﾞｱ)パスポートベース②" xfId="580" xr:uid="{00000000-0005-0000-0000-0000CE010000}"/>
    <cellStyle name="▲_050704【ＮＦＬ】機種別販売数量(ﾄﾞｱ)パスポートベース②切替率変更" xfId="581" xr:uid="{00000000-0005-0000-0000-0000CF010000}"/>
    <cellStyle name="▲_050704次期 FL__開発ﾊﾟｽﾎﾟｰﾄ(0504発売版)③" xfId="582" xr:uid="{00000000-0005-0000-0000-0000D0010000}"/>
    <cellStyle name="▲_050715次期 FL__開発ﾊﾟｽﾎﾟｰﾄ(0504発売版)③切替率変更" xfId="583" xr:uid="{00000000-0005-0000-0000-0000D1010000}"/>
    <cellStyle name="▲_050725（P修正）0506_NFL販売データ調査" xfId="584" xr:uid="{00000000-0005-0000-0000-0000D2010000}"/>
    <cellStyle name="▲_050725（P修正）0508_NFL販売データ調査" xfId="585" xr:uid="{00000000-0005-0000-0000-0000D3010000}"/>
    <cellStyle name="▲_050725F_開発ﾊﾟｽﾎﾟｰﾄ最終修正版（数値背景）" xfId="586" xr:uid="{00000000-0005-0000-0000-0000D4010000}"/>
    <cellStyle name="▲_050726【ＮＦＬ】機種別販売数量(ﾄﾞｱ)パスポート修正版" xfId="587" xr:uid="{00000000-0005-0000-0000-0000D5010000}"/>
    <cellStyle name="▲_050901統轄計画ヒアリング報告" xfId="588" xr:uid="{00000000-0005-0000-0000-0000D6010000}"/>
    <cellStyle name="▲_050907NFL販売データ最終調整データ" xfId="589" xr:uid="{00000000-0005-0000-0000-0000D7010000}"/>
    <cellStyle name="▲_050913FL強化 開発ﾊﾟｽﾎﾟｰﾄ" xfId="590" xr:uid="{00000000-0005-0000-0000-0000D8010000}"/>
    <cellStyle name="▲_051122床ロット発注通達" xfId="591" xr:uid="{00000000-0005-0000-0000-0000D9010000}"/>
    <cellStyle name="▲_051122床ロット発注通達 2" xfId="5496" xr:uid="{00000000-0005-0000-0000-0000DA010000}"/>
    <cellStyle name="▲_051215 関連商品設定色一覧" xfId="592" xr:uid="{00000000-0005-0000-0000-0000DB010000}"/>
    <cellStyle name="▲_054-9受注売上予測" xfId="593" xr:uid="{00000000-0005-0000-0000-0000DC010000}"/>
    <cellStyle name="▲_054-9受注売上予測 2" xfId="2986" xr:uid="{00000000-0005-0000-0000-0000DD010000}"/>
    <cellStyle name="▲_０５ＧＬ月単位データ" xfId="594" xr:uid="{00000000-0005-0000-0000-0000DE010000}"/>
    <cellStyle name="▲_０５ＧＬ販売実績まとめ" xfId="595" xr:uid="{00000000-0005-0000-0000-0000DF010000}"/>
    <cellStyle name="▲_０５ＧＬ販売実績まとめ0610" xfId="596" xr:uid="{00000000-0005-0000-0000-0000E0010000}"/>
    <cellStyle name="▲_０５ＧＬ販売実績まとめ0612" xfId="597" xr:uid="{00000000-0005-0000-0000-0000E1010000}"/>
    <cellStyle name="▲_05年度総経理方針書" xfId="2987" xr:uid="{00000000-0005-0000-0000-0000E2010000}"/>
    <cellStyle name="▲_05年度総経理方針書1" xfId="2988" xr:uid="{00000000-0005-0000-0000-0000E3010000}"/>
    <cellStyle name="▲_０５年度方針実績" xfId="598" xr:uid="{00000000-0005-0000-0000-0000E4010000}"/>
    <cellStyle name="▲_060309 06WL開発ﾊﾟｽﾎﾟｰﾄ" xfId="599" xr:uid="{00000000-0005-0000-0000-0000E5010000}"/>
    <cellStyle name="▲_060607_ＳＲ体ｽｹｼﾞｭｰﾙ打ち合わせ" xfId="600" xr:uid="{00000000-0005-0000-0000-0000E6010000}"/>
    <cellStyle name="▲_060620EL切替案" xfId="601" xr:uid="{00000000-0005-0000-0000-0000E7010000}"/>
    <cellStyle name="▲_06-068" xfId="602" xr:uid="{00000000-0005-0000-0000-0000E8010000}"/>
    <cellStyle name="▲_06-068 2" xfId="5497" xr:uid="{00000000-0005-0000-0000-0000E9010000}"/>
    <cellStyle name="▲_060704OR切替説明資料" xfId="603" xr:uid="{00000000-0005-0000-0000-0000EA010000}"/>
    <cellStyle name="▲_060808 06 i-Room開発ﾊﾟｽﾎﾟｰﾄ" xfId="604" xr:uid="{00000000-0005-0000-0000-0000EB010000}"/>
    <cellStyle name="▲_060808 06WL開発ﾊﾟｽﾎﾟｰﾄ" xfId="605" xr:uid="{00000000-0005-0000-0000-0000EC010000}"/>
    <cellStyle name="▲_0609栃木住器" xfId="606" xr:uid="{00000000-0005-0000-0000-0000ED010000}"/>
    <cellStyle name="▲_0610掛率変更内容" xfId="607" xr:uid="{00000000-0005-0000-0000-0000EE010000}"/>
    <cellStyle name="▲_06WL大連資材立上げ日程検討" xfId="608" xr:uid="{00000000-0005-0000-0000-0000EF010000}"/>
    <cellStyle name="▲_06WL量試開催（業連06-11）" xfId="609" xr:uid="{00000000-0005-0000-0000-0000F0010000}"/>
    <cellStyle name="▲_06WL量試状況（1次）060728" xfId="610" xr:uid="{00000000-0005-0000-0000-0000F1010000}"/>
    <cellStyle name="▲_06WL量試日程（須賀川）" xfId="611" xr:uid="{00000000-0005-0000-0000-0000F2010000}"/>
    <cellStyle name="▲_06年度残業データ" xfId="612" xr:uid="{00000000-0005-0000-0000-0000F3010000}"/>
    <cellStyle name="▲_06年度総経理方針書（項目のみ）" xfId="2989" xr:uid="{00000000-0005-0000-0000-0000F4010000}"/>
    <cellStyle name="▲_070205ｱｲﾌﾙ原価試算(進藤算出)" xfId="613" xr:uid="{00000000-0005-0000-0000-0000F5010000}"/>
    <cellStyle name="▲_070206_07GL開発ﾊﾟｽﾎﾟｰﾄ" xfId="614" xr:uid="{00000000-0005-0000-0000-0000F6010000}"/>
    <cellStyle name="▲_070206_07GL開発ﾊﾟｽﾎﾟｰﾄ_070328_07GLCM原価List" xfId="615" xr:uid="{00000000-0005-0000-0000-0000F7010000}"/>
    <cellStyle name="▲_070206_07GL開発ﾊﾟｽﾎﾟｰﾄ_070328_07GLCM原価Lista" xfId="616" xr:uid="{00000000-0005-0000-0000-0000F8010000}"/>
    <cellStyle name="▲_070206_07GL開発ﾊﾟｽﾎﾟｰﾄ_070515_07GLCM原価List" xfId="617" xr:uid="{00000000-0005-0000-0000-0000F9010000}"/>
    <cellStyle name="▲_070206_07GL開発ﾊﾟｽﾎﾟｰﾄ_070517_07GLCM原価List" xfId="618" xr:uid="{00000000-0005-0000-0000-0000FA010000}"/>
    <cellStyle name="▲_070206_07GL開発ﾊﾟｽﾎﾟｰﾄ_070518_07GLCM原価List" xfId="619" xr:uid="{00000000-0005-0000-0000-0000FB010000}"/>
    <cellStyle name="▲_070206_07GL開発ﾊﾟｽﾎﾟｰﾄ_070723 07GL機種別販売計画(配布用）" xfId="620" xr:uid="{00000000-0005-0000-0000-0000FC010000}"/>
    <cellStyle name="▲_070206_07GL開発ﾊﾟｽﾎﾟｰﾄ_070730_07GL原価List" xfId="621" xr:uid="{00000000-0005-0000-0000-0000FD010000}"/>
    <cellStyle name="▲_070206_07GL開発ﾊﾟｽﾎﾟｰﾄ_1" xfId="622" xr:uid="{00000000-0005-0000-0000-0000FE010000}"/>
    <cellStyle name="▲_070328_07GLCM原価List" xfId="623" xr:uid="{00000000-0005-0000-0000-0000FF010000}"/>
    <cellStyle name="▲_070328_07GLCM原価Lista" xfId="624" xr:uid="{00000000-0005-0000-0000-000000020000}"/>
    <cellStyle name="▲_070515_07GLCM原価List" xfId="625" xr:uid="{00000000-0005-0000-0000-000001020000}"/>
    <cellStyle name="▲_070517_07GLCM原価List" xfId="626" xr:uid="{00000000-0005-0000-0000-000002020000}"/>
    <cellStyle name="▲_070518_07GLCM原価List" xfId="627" xr:uid="{00000000-0005-0000-0000-000003020000}"/>
    <cellStyle name="▲_070704土浦メモ1" xfId="628" xr:uid="{00000000-0005-0000-0000-000004020000}"/>
    <cellStyle name="▲_070704土浦メモ1 2" xfId="5498" xr:uid="{00000000-0005-0000-0000-000005020000}"/>
    <cellStyle name="▲_070704土浦メモ1_2012年度 保全担当者資料" xfId="629" xr:uid="{00000000-0005-0000-0000-000006020000}"/>
    <cellStyle name="▲_070704土浦メモ1_2012年度 保全担当者資料 2" xfId="5499" xr:uid="{00000000-0005-0000-0000-000007020000}"/>
    <cellStyle name="▲_070723 07GL機種別販売計画(配布用）" xfId="630" xr:uid="{00000000-0005-0000-0000-000008020000}"/>
    <cellStyle name="▲_070726_経営状況検討会フォーマット" xfId="631" xr:uid="{00000000-0005-0000-0000-000009020000}"/>
    <cellStyle name="▲_070730_07GL原価List" xfId="632" xr:uid="{00000000-0005-0000-0000-00000A020000}"/>
    <cellStyle name="▲_0707管理月 " xfId="633" xr:uid="{00000000-0005-0000-0000-00000B020000}"/>
    <cellStyle name="▲_071019PRT207原価試算（070930時点改）" xfId="634" xr:uid="{00000000-0005-0000-0000-00000C020000}"/>
    <cellStyle name="▲_0710シャッター実践研資料" xfId="635" xr:uid="{00000000-0005-0000-0000-00000D020000}"/>
    <cellStyle name="▲_0710シャッター実践研資料 2" xfId="2990" xr:uid="{00000000-0005-0000-0000-00000E020000}"/>
    <cellStyle name="▲_0712水戸工場損益状況" xfId="636" xr:uid="{00000000-0005-0000-0000-00000F020000}"/>
    <cellStyle name="▲_0724关于原材料費异常值管理业务联络" xfId="2991" xr:uid="{00000000-0005-0000-0000-000010020000}"/>
    <cellStyle name="▲_07FＬ生産準備ｽｹｼﾞｭｰﾙ（Ｆ管理登録用）" xfId="637" xr:uid="{00000000-0005-0000-0000-000011020000}"/>
    <cellStyle name="▲_07GL機種別販売計画" xfId="638" xr:uid="{00000000-0005-0000-0000-000012020000}"/>
    <cellStyle name="▲_07GL梱包ＤＲ070914" xfId="639" xr:uid="{00000000-0005-0000-0000-000013020000}"/>
    <cellStyle name="▲_07GL最終価格設定" xfId="640" xr:uid="{00000000-0005-0000-0000-000014020000}"/>
    <cellStyle name="▲_07GL量試開催（業連07-17）" xfId="641" xr:uid="{00000000-0005-0000-0000-000015020000}"/>
    <cellStyle name="▲_07限量経営合宿方策" xfId="642" xr:uid="{00000000-0005-0000-0000-000016020000}"/>
    <cellStyle name="▲_０７損傷ＰＪ削減計画表（瀬谷）" xfId="643" xr:uid="{00000000-0005-0000-0000-000017020000}"/>
    <cellStyle name="▲_07第10回実践研事前説明資料" xfId="644" xr:uid="{00000000-0005-0000-0000-000018020000}"/>
    <cellStyle name="▲_07第10回実践研事前説明資料 2" xfId="2992" xr:uid="{00000000-0005-0000-0000-000019020000}"/>
    <cellStyle name="▲_07第4回実践研HB課前説資料" xfId="645" xr:uid="{00000000-0005-0000-0000-00001A020000}"/>
    <cellStyle name="▲_07第4回実践研HB課前説資料 2" xfId="5500" xr:uid="{00000000-0005-0000-0000-00001B020000}"/>
    <cellStyle name="▲_07年工場予算集計" xfId="646" xr:uid="{00000000-0005-0000-0000-00001C020000}"/>
    <cellStyle name="▲_07年度9002ﾌｫﾛｰｼｰﾄ桑田（間接人員削減活動）" xfId="647" xr:uid="{00000000-0005-0000-0000-00001D020000}"/>
    <cellStyle name="▲_０７年度一関ラッピング予算" xfId="648" xr:uid="{00000000-0005-0000-0000-00001E020000}"/>
    <cellStyle name="▲_07年度技術部提出フォーマット（WP）" xfId="649" xr:uid="{00000000-0005-0000-0000-00001F020000}"/>
    <cellStyle name="▲_07年度値上げ予測" xfId="650" xr:uid="{00000000-0005-0000-0000-000020020000}"/>
    <cellStyle name="▲_07年度方策と活動" xfId="651" xr:uid="{00000000-0005-0000-0000-000021020000}"/>
    <cellStyle name="▲_07年度予算（付加価値G）" xfId="652" xr:uid="{00000000-0005-0000-0000-000022020000}"/>
    <cellStyle name="▲_08.04.17Fライン報告資料xls" xfId="653" xr:uid="{00000000-0005-0000-0000-000023020000}"/>
    <cellStyle name="▲_08-002ＤＳ窓枠スリムﾀｲﾌﾟ" xfId="654" xr:uid="{00000000-0005-0000-0000-000024020000}"/>
    <cellStyle name="▲_080215荷捌き点検結果" xfId="655" xr:uid="{00000000-0005-0000-0000-000025020000}"/>
    <cellStyle name="▲_0804－08施工店_販売実績" xfId="656" xr:uid="{00000000-0005-0000-0000-000026020000}"/>
    <cellStyle name="▲_080416LMS新潟打合せ内容" xfId="657" xr:uid="{00000000-0005-0000-0000-000027020000}"/>
    <cellStyle name="▲_0805 関物残業計画" xfId="2790" xr:uid="{00000000-0005-0000-0000-000028020000}"/>
    <cellStyle name="▲_080627タイ出張報告(TIMES_湊)" xfId="658" xr:uid="{00000000-0005-0000-0000-000029020000}"/>
    <cellStyle name="▲_080715PRT209ｺｽﾄﾀﾞｳﾝﾘｽﾄ" xfId="659" xr:uid="{00000000-0005-0000-0000-00002A020000}"/>
    <cellStyle name="▲_080724間接改善ＰＪ" xfId="660" xr:uid="{00000000-0005-0000-0000-00002B020000}"/>
    <cellStyle name="▲_0808受注後VE報告" xfId="661" xr:uid="{00000000-0005-0000-0000-00002C020000}"/>
    <cellStyle name="▲_0808受注後VE報告 2" xfId="5501" xr:uid="{00000000-0005-0000-0000-00002D020000}"/>
    <cellStyle name="▲_080903教育訓練Ｇ方針" xfId="662" xr:uid="{00000000-0005-0000-0000-00002E020000}"/>
    <cellStyle name="▲_081017【加工費】ヘーベル0807勝手口採風xls" xfId="663" xr:uid="{00000000-0005-0000-0000-00002F020000}"/>
    <cellStyle name="▲_081023副資材改善報告" xfId="664" xr:uid="{00000000-0005-0000-0000-000030020000}"/>
    <cellStyle name="▲_0810タイ出張報告(TIMES_湊)" xfId="665" xr:uid="{00000000-0005-0000-0000-000031020000}"/>
    <cellStyle name="▲_085 スマート10 QC工程表" xfId="666" xr:uid="{00000000-0005-0000-0000-000032020000}"/>
    <cellStyle name="▲_08ｉ‐Room 大日程(071010)" xfId="667" xr:uid="{00000000-0005-0000-0000-000033020000}"/>
    <cellStyle name="▲_08ｉ‐Room 大日程(071204)" xfId="668" xr:uid="{00000000-0005-0000-0000-000034020000}"/>
    <cellStyle name="▲_０８－ＩＲＯＯＭ収納系ﾁｪｯｸﾘｽﾄ " xfId="669" xr:uid="{00000000-0005-0000-0000-000035020000}"/>
    <cellStyle name="▲_08i-room設備投資まとめ080225" xfId="670" xr:uid="{00000000-0005-0000-0000-000036020000}"/>
    <cellStyle name="▲_08WLクロ折戸" xfId="2993" xr:uid="{00000000-0005-0000-0000-000037020000}"/>
    <cellStyle name="▲_08上期 レイアウト" xfId="671" xr:uid="{00000000-0005-0000-0000-000038020000}"/>
    <cellStyle name="▲_08新商品計画" xfId="672" xr:uid="{00000000-0005-0000-0000-000039020000}"/>
    <cellStyle name="▲_0902月度月次計画090121" xfId="673" xr:uid="{00000000-0005-0000-0000-00003A020000}"/>
    <cellStyle name="▲_090313タイ出張報告書（ＴＩＭＥＳ湊）" xfId="674" xr:uid="{00000000-0005-0000-0000-00003B020000}"/>
    <cellStyle name="▲_090401出張報告書（湊）" xfId="675" xr:uid="{00000000-0005-0000-0000-00003C020000}"/>
    <cellStyle name="▲_090413品質保証課" xfId="676" xr:uid="{00000000-0005-0000-0000-00003D020000}"/>
    <cellStyle name="▲_0904月度月次計画090318" xfId="677" xr:uid="{00000000-0005-0000-0000-00003E020000}"/>
    <cellStyle name="▲_0905方策." xfId="678" xr:uid="{00000000-0005-0000-0000-00003F020000}"/>
    <cellStyle name="▲_090726-0808上海出張スケジュール " xfId="679" xr:uid="{00000000-0005-0000-0000-000040020000}"/>
    <cellStyle name="▲_090726-0808上海出張スケジュール  2" xfId="5502" xr:uid="{00000000-0005-0000-0000-000041020000}"/>
    <cellStyle name="▲_0918集約率" xfId="680" xr:uid="{00000000-0005-0000-0000-000042020000}"/>
    <cellStyle name="▲_09FL（F管理用）須賀川080730" xfId="681" xr:uid="{00000000-0005-0000-0000-000043020000}"/>
    <cellStyle name="▲_09FLMC量試開催（業連09-02）" xfId="682" xr:uid="{00000000-0005-0000-0000-000044020000}"/>
    <cellStyle name="▲_09FLクロ折戸" xfId="2994" xr:uid="{00000000-0005-0000-0000-000045020000}"/>
    <cellStyle name="▲_09MC V引戸変更点" xfId="2995" xr:uid="{00000000-0005-0000-0000-000046020000}"/>
    <cellStyle name="▲_09MC 床材、定尺材、有償部品変更点" xfId="2996" xr:uid="{00000000-0005-0000-0000-000047020000}"/>
    <cellStyle name="▲_09MC 上吊引戸変更点" xfId="2997" xr:uid="{00000000-0005-0000-0000-000048020000}"/>
    <cellStyle name="▲_09年10月度生産2" xfId="683" xr:uid="{00000000-0005-0000-0000-000049020000}"/>
    <cellStyle name="▲_09年4月度生産" xfId="684" xr:uid="{00000000-0005-0000-0000-00004A020000}"/>
    <cellStyle name="▲_09年5月度生産" xfId="685" xr:uid="{00000000-0005-0000-0000-00004B020000}"/>
    <cellStyle name="▲_09年6月度生産" xfId="686" xr:uid="{00000000-0005-0000-0000-00004C020000}"/>
    <cellStyle name="▲_09年7月度生産" xfId="687" xr:uid="{00000000-0005-0000-0000-00004D020000}"/>
    <cellStyle name="▲_09年8月度生産" xfId="688" xr:uid="{00000000-0005-0000-0000-00004E020000}"/>
    <cellStyle name="▲_1)08ｉ‐Room 大日程" xfId="689" xr:uid="{00000000-0005-0000-0000-00004F020000}"/>
    <cellStyle name="▲_1,2月COBOL勉強計画" xfId="2998" xr:uid="{00000000-0005-0000-0000-000050020000}"/>
    <cellStyle name="▲_1,2月COBOL勉強計画 2" xfId="2999" xr:uid="{00000000-0005-0000-0000-000051020000}"/>
    <cellStyle name="▲_1,2月COBOL勉強計画 2 2" xfId="3000" xr:uid="{00000000-0005-0000-0000-000052020000}"/>
    <cellStyle name="▲_1,2月COBOL勉強計画 3" xfId="3001" xr:uid="{00000000-0005-0000-0000-000053020000}"/>
    <cellStyle name="▲_1,2月COBOL勉強計画 3 2" xfId="3002" xr:uid="{00000000-0005-0000-0000-000054020000}"/>
    <cellStyle name="▲_1,2月COBOL勉強計画 3 2 2" xfId="3003" xr:uid="{00000000-0005-0000-0000-000055020000}"/>
    <cellStyle name="▲_1,2月COBOL勉強計画 3 3" xfId="3004" xr:uid="{00000000-0005-0000-0000-000056020000}"/>
    <cellStyle name="▲_1,2月COBOL勉強計画 4" xfId="3005" xr:uid="{00000000-0005-0000-0000-000057020000}"/>
    <cellStyle name="▲_1+2制造部0708诊断会资料（上期反省）" xfId="3006" xr:uid="{00000000-0005-0000-0000-000058020000}"/>
    <cellStyle name="▲_1+2制造部0708诊断会资料（上期反省） 2" xfId="3007" xr:uid="{00000000-0005-0000-0000-000059020000}"/>
    <cellStyle name="▲_1+2制造部0708诊断会资料（上期反省） 2 2" xfId="3008" xr:uid="{00000000-0005-0000-0000-00005A020000}"/>
    <cellStyle name="▲_1+2制造部0708诊断会资料（上期反省） 2 2 2" xfId="3009" xr:uid="{00000000-0005-0000-0000-00005B020000}"/>
    <cellStyle name="▲_1+2制造部0708诊断会资料（上期反省） 2 2 2 2" xfId="3010" xr:uid="{00000000-0005-0000-0000-00005C020000}"/>
    <cellStyle name="▲_1+2制造部0708诊断会资料（上期反省） 2 2 3" xfId="3011" xr:uid="{00000000-0005-0000-0000-00005D020000}"/>
    <cellStyle name="▲_1+2制造部0708诊断会资料（上期反省） 2 2 3 2" xfId="3012" xr:uid="{00000000-0005-0000-0000-00005E020000}"/>
    <cellStyle name="▲_1+2制造部0708诊断会资料（上期反省） 2 2 3 2 2" xfId="3013" xr:uid="{00000000-0005-0000-0000-00005F020000}"/>
    <cellStyle name="▲_1+2制造部0708诊断会资料（上期反省） 2 2 3 3" xfId="3014" xr:uid="{00000000-0005-0000-0000-000060020000}"/>
    <cellStyle name="▲_1+2制造部0708诊断会资料（上期反省） 2 2 4" xfId="3015" xr:uid="{00000000-0005-0000-0000-000061020000}"/>
    <cellStyle name="▲_1+2制造部0708诊断会资料（上期反省） 2 3" xfId="3016" xr:uid="{00000000-0005-0000-0000-000062020000}"/>
    <cellStyle name="▲_1+2制造部0708诊断会资料（上期反省） 3" xfId="3017" xr:uid="{00000000-0005-0000-0000-000063020000}"/>
    <cellStyle name="▲_100406(大和）" xfId="690" xr:uid="{00000000-0005-0000-0000-000064020000}"/>
    <cellStyle name="▲_100524 新商品生産準備品質確認合意運用規定" xfId="691" xr:uid="{00000000-0005-0000-0000-000065020000}"/>
    <cellStyle name="▲_100790振り返り" xfId="3018" xr:uid="{00000000-0005-0000-0000-000066020000}"/>
    <cellStyle name="▲_100901開き網戸打合せ議事録" xfId="692" xr:uid="{00000000-0005-0000-0000-000067020000}"/>
    <cellStyle name="▲_101222 中国向けサーマル加工費見積" xfId="693" xr:uid="{00000000-0005-0000-0000-000068020000}"/>
    <cellStyle name="▲_①09FLMC大日程（須）090105" xfId="694" xr:uid="{00000000-0005-0000-0000-000069020000}"/>
    <cellStyle name="▲_１０月度報告資料" xfId="695" xr:uid="{00000000-0005-0000-0000-00006A020000}"/>
    <cellStyle name="▲_10年1月度生産" xfId="696" xr:uid="{00000000-0005-0000-0000-00006B020000}"/>
    <cellStyle name="▲_10年2月度生産" xfId="697" xr:uid="{00000000-0005-0000-0000-00006C020000}"/>
    <cellStyle name="▲_10年3月度生産" xfId="698" xr:uid="{00000000-0005-0000-0000-00006D020000}"/>
    <cellStyle name="▲_10年4月度生産" xfId="699" xr:uid="{00000000-0005-0000-0000-00006E020000}"/>
    <cellStyle name="▲_11月工場長診断会(鈴木)" xfId="700" xr:uid="{00000000-0005-0000-0000-00006F020000}"/>
    <cellStyle name="▲_12年度本部長診断現場報告ドア枠" xfId="701" xr:uid="{00000000-0005-0000-0000-000070020000}"/>
    <cellStyle name="▲_12年度本部長診断現場報告ドア枠 2" xfId="5503" xr:uid="{00000000-0005-0000-0000-000071020000}"/>
    <cellStyle name="▲_13年度方針発表会報告資料(開発３係)" xfId="3019" xr:uid="{00000000-0005-0000-0000-000072020000}"/>
    <cellStyle name="▲_13年度方針発表会報告資料(開発３係) 2" xfId="3020" xr:uid="{00000000-0005-0000-0000-000073020000}"/>
    <cellStyle name="▲_13年度方針発表会報告資料(開発３係) 2 2" xfId="3021" xr:uid="{00000000-0005-0000-0000-000074020000}"/>
    <cellStyle name="▲_13年度方針発表会報告資料(開発３係) 2 2 2" xfId="3022" xr:uid="{00000000-0005-0000-0000-000075020000}"/>
    <cellStyle name="▲_13年度方針発表会報告資料(開発３係) 2 2 2 2" xfId="3023" xr:uid="{00000000-0005-0000-0000-000076020000}"/>
    <cellStyle name="▲_13年度方針発表会報告資料(開発３係) 2 2 3" xfId="3024" xr:uid="{00000000-0005-0000-0000-000077020000}"/>
    <cellStyle name="▲_13年度方針発表会報告資料(開発３係) 2 2 3 2" xfId="3025" xr:uid="{00000000-0005-0000-0000-000078020000}"/>
    <cellStyle name="▲_13年度方針発表会報告資料(開発３係) 2 2 3 2 2" xfId="3026" xr:uid="{00000000-0005-0000-0000-000079020000}"/>
    <cellStyle name="▲_13年度方針発表会報告資料(開発３係) 2 2 3 3" xfId="3027" xr:uid="{00000000-0005-0000-0000-00007A020000}"/>
    <cellStyle name="▲_13年度方針発表会報告資料(開発３係) 2 2 4" xfId="3028" xr:uid="{00000000-0005-0000-0000-00007B020000}"/>
    <cellStyle name="▲_13年度方針発表会報告資料(開発３係) 2 3" xfId="3029" xr:uid="{00000000-0005-0000-0000-00007C020000}"/>
    <cellStyle name="▲_13年度方針発表会報告資料(開発３係) 3" xfId="3030" xr:uid="{00000000-0005-0000-0000-00007D020000}"/>
    <cellStyle name="▲_18.Ｂ2 NET習熟度（中部 技ス）松岡" xfId="702" xr:uid="{00000000-0005-0000-0000-00007E020000}"/>
    <cellStyle name="▲_18.Ｂ2 NET習熟度（中部 技ス）松岡 2" xfId="3031" xr:uid="{00000000-0005-0000-0000-00007F020000}"/>
    <cellStyle name="▲_１社プレゼンマニュアル" xfId="703" xr:uid="{00000000-0005-0000-0000-000080020000}"/>
    <cellStyle name="▲_１社プレゼンマニュアル 2" xfId="3032" xr:uid="{00000000-0005-0000-0000-000081020000}"/>
    <cellStyle name="▲_2.APM大会评审新规则制定" xfId="3033" xr:uid="{00000000-0005-0000-0000-000082020000}"/>
    <cellStyle name="▲_２００７年間接経費予算見直し (13)" xfId="2800" xr:uid="{00000000-0005-0000-0000-000083020000}"/>
    <cellStyle name="▲_２００７年間接経費予算見直し (13) 2" xfId="5279" xr:uid="{00000000-0005-0000-0000-000084020000}"/>
    <cellStyle name="▲_２００７年間接経費予算見直し (13) 2 2" xfId="6363" xr:uid="{00000000-0005-0000-0000-000085020000}"/>
    <cellStyle name="▲_２００７年間接経費予算見直し (13) 3" xfId="5280" xr:uid="{00000000-0005-0000-0000-000086020000}"/>
    <cellStyle name="▲_２００７年間接経費予算見直し (13) 3 2" xfId="6364" xr:uid="{00000000-0005-0000-0000-000087020000}"/>
    <cellStyle name="▲_２００７年間接経費予算見直し (13) 4" xfId="5281" xr:uid="{00000000-0005-0000-0000-000088020000}"/>
    <cellStyle name="▲_２００７年間接経費予算見直し (13) 4 2" xfId="6365" xr:uid="{00000000-0005-0000-0000-000089020000}"/>
    <cellStyle name="▲_２００７年間接経費予算見直し (13) 5" xfId="5282" xr:uid="{00000000-0005-0000-0000-00008A020000}"/>
    <cellStyle name="▲_２００７年間接経費予算見直し (13) 5 2" xfId="6366" xr:uid="{00000000-0005-0000-0000-00008B020000}"/>
    <cellStyle name="▲_２００７年間接経費予算見直し (13) 6" xfId="5283" xr:uid="{00000000-0005-0000-0000-00008C020000}"/>
    <cellStyle name="▲_２００７年間接経費予算見直し (13) 6 2" xfId="6367" xr:uid="{00000000-0005-0000-0000-00008D020000}"/>
    <cellStyle name="▲_2007年人員計画表" xfId="704" xr:uid="{00000000-0005-0000-0000-00008E020000}"/>
    <cellStyle name="▲_20091013_商品コード別出荷数量 " xfId="705" xr:uid="{00000000-0005-0000-0000-00008F020000}"/>
    <cellStyle name="▲_200912総経理診断会総括" xfId="3034" xr:uid="{00000000-0005-0000-0000-000090020000}"/>
    <cellStyle name="▲_200912総経理診断会総括 2" xfId="3035" xr:uid="{00000000-0005-0000-0000-000091020000}"/>
    <cellStyle name="▲_200912総経理診断会総括 2 2" xfId="3036" xr:uid="{00000000-0005-0000-0000-000092020000}"/>
    <cellStyle name="▲_200912総経理診断会総括 3" xfId="3037" xr:uid="{00000000-0005-0000-0000-000093020000}"/>
    <cellStyle name="▲_200912総経理診断会総括 3 2" xfId="3038" xr:uid="{00000000-0005-0000-0000-000094020000}"/>
    <cellStyle name="▲_200912総経理診断会総括 3 2 2" xfId="3039" xr:uid="{00000000-0005-0000-0000-000095020000}"/>
    <cellStyle name="▲_200912総経理診断会総括 3 3" xfId="3040" xr:uid="{00000000-0005-0000-0000-000096020000}"/>
    <cellStyle name="▲_200912総経理診断会総括 4" xfId="3041" xr:uid="{00000000-0005-0000-0000-000097020000}"/>
    <cellStyle name="▲_2009年問題対応進捗管理表【一関報告】" xfId="706" xr:uid="{00000000-0005-0000-0000-000098020000}"/>
    <cellStyle name="▲_２係外観確認結果080514" xfId="707" xr:uid="{00000000-0005-0000-0000-000099020000}"/>
    <cellStyle name="▲_35回品質実践研テーマ" xfId="708" xr:uid="{00000000-0005-0000-0000-00009A020000}"/>
    <cellStyle name="▲_４－９方針進捗" xfId="709" xr:uid="{00000000-0005-0000-0000-00009B020000}"/>
    <cellStyle name="▲_４回目" xfId="3042" xr:uid="{00000000-0005-0000-0000-00009C020000}"/>
    <cellStyle name="▲_６月操業計画" xfId="710" xr:uid="{00000000-0005-0000-0000-00009D020000}"/>
    <cellStyle name="▲_8月人員計画及び残業時間統計" xfId="711" xr:uid="{00000000-0005-0000-0000-00009E020000}"/>
    <cellStyle name="▲_Book1" xfId="712" xr:uid="{00000000-0005-0000-0000-00009F020000}"/>
    <cellStyle name="▲_Book1 2" xfId="2801" xr:uid="{00000000-0005-0000-0000-0000A0020000}"/>
    <cellStyle name="▲_Book1 3" xfId="5284" xr:uid="{00000000-0005-0000-0000-0000A1020000}"/>
    <cellStyle name="▲_Book3" xfId="713" xr:uid="{00000000-0005-0000-0000-0000A2020000}"/>
    <cellStyle name="▲_Book4" xfId="714" xr:uid="{00000000-0005-0000-0000-0000A3020000}"/>
    <cellStyle name="▲_Book4 2" xfId="3043" xr:uid="{00000000-0005-0000-0000-0000A4020000}"/>
    <cellStyle name="▲_ＢＰ説明資料" xfId="715" xr:uid="{00000000-0005-0000-0000-0000A5020000}"/>
    <cellStyle name="▲_ＢＲＴＲ給湯器研修ｶﾘｷｭﾗﾑ" xfId="716" xr:uid="{00000000-0005-0000-0000-0000A6020000}"/>
    <cellStyle name="▲_ＢＲＴＲ給湯器研修ｶﾘｷｭﾗﾑ 2" xfId="3044" xr:uid="{00000000-0005-0000-0000-0000A7020000}"/>
    <cellStyle name="▲_DLLの活動と今期業績" xfId="717" xr:uid="{00000000-0005-0000-0000-0000A8020000}"/>
    <cellStyle name="▲_DLLの活動と今期業績 2" xfId="3045" xr:uid="{00000000-0005-0000-0000-0000A9020000}"/>
    <cellStyle name="▲_ＤＲ結果報告書（可動ライン統合）070725" xfId="718" xr:uid="{00000000-0005-0000-0000-0000AA020000}"/>
    <cellStyle name="▲_DSS11-114" xfId="3046" xr:uid="{00000000-0005-0000-0000-0000AB020000}"/>
    <cellStyle name="▲_DS梱包改善" xfId="719" xr:uid="{00000000-0005-0000-0000-0000AC020000}"/>
    <cellStyle name="▲_FA" xfId="720" xr:uid="{00000000-0005-0000-0000-0000AD020000}"/>
    <cellStyle name="▲_FA 2" xfId="5504" xr:uid="{00000000-0005-0000-0000-0000AE020000}"/>
    <cellStyle name="▲_ＦＬドア変更点" xfId="3047" xr:uid="{00000000-0005-0000-0000-0000AF020000}"/>
    <cellStyle name="▲_Ｈ改善ＳＨ" xfId="721" xr:uid="{00000000-0005-0000-0000-0000B0020000}"/>
    <cellStyle name="▲_KAIDAN1" xfId="722" xr:uid="{00000000-0005-0000-0000-0000B1020000}"/>
    <cellStyle name="▲_KAIDAN1 2" xfId="5505" xr:uid="{00000000-0005-0000-0000-0000B2020000}"/>
    <cellStyle name="▲_LL10-3重点" xfId="723" xr:uid="{00000000-0005-0000-0000-0000B3020000}"/>
    <cellStyle name="▲_LL10-3重点 2" xfId="3048" xr:uid="{00000000-0005-0000-0000-0000B4020000}"/>
    <cellStyle name="▲_LL報告書021003" xfId="724" xr:uid="{00000000-0005-0000-0000-0000B5020000}"/>
    <cellStyle name="▲_LV価格政策" xfId="725" xr:uid="{00000000-0005-0000-0000-0000B6020000}"/>
    <cellStyle name="▲_ＬＶ他社メーカー価格棚卸しリスト" xfId="76" xr:uid="{00000000-0005-0000-0000-0000B7020000}"/>
    <cellStyle name="▲_ＬＶ他社メーカー価格棚卸しリスト 2" xfId="3049" xr:uid="{00000000-0005-0000-0000-0000B8020000}"/>
    <cellStyle name="▲_ＬＶ他社メーカー価格棚卸しリスト 2 2" xfId="3050" xr:uid="{00000000-0005-0000-0000-0000B9020000}"/>
    <cellStyle name="▲_ＬＶ他社メーカー価格棚卸しリスト 3" xfId="3051" xr:uid="{00000000-0005-0000-0000-0000BA020000}"/>
    <cellStyle name="▲_ＬＶ他社メーカー価格棚卸しリスト 3 2" xfId="3052" xr:uid="{00000000-0005-0000-0000-0000BB020000}"/>
    <cellStyle name="▲_ＬＶ他社メーカー価格棚卸しリスト 3 2 2" xfId="3053" xr:uid="{00000000-0005-0000-0000-0000BC020000}"/>
    <cellStyle name="▲_ＬＶ他社メーカー価格棚卸しリスト 3 3" xfId="3054" xr:uid="{00000000-0005-0000-0000-0000BD020000}"/>
    <cellStyle name="▲_ＬＶ他社メーカー価格棚卸しリスト 4" xfId="3055" xr:uid="{00000000-0005-0000-0000-0000BE020000}"/>
    <cellStyle name="▲_ＬＶ他社メーカー価格棚卸しリスト_(SR海外)_工程台帳" xfId="726" xr:uid="{00000000-0005-0000-0000-0000BF020000}"/>
    <cellStyle name="▲_ＬＶ他社メーカー価格棚卸しリスト_(SR海外)_工程台帳 2" xfId="5506" xr:uid="{00000000-0005-0000-0000-0000C0020000}"/>
    <cellStyle name="▲_ＬＶ他社メーカー価格棚卸しリスト_《PL枠》12年度目指すべき姿" xfId="727" xr:uid="{00000000-0005-0000-0000-0000C1020000}"/>
    <cellStyle name="▲_ＬＶ他社メーカー価格棚卸しリスト_《PL枠》12年度目指すべき姿 2" xfId="5507" xr:uid="{00000000-0005-0000-0000-0000C2020000}"/>
    <cellStyle name="▲_ＬＶ他社メーカー価格棚卸しリスト_《ベルスク２》12年度目指すべき姿" xfId="728" xr:uid="{00000000-0005-0000-0000-0000C3020000}"/>
    <cellStyle name="▲_ＬＶ他社メーカー価格棚卸しリスト_《ベルスク２》12年度目指すべき姿 2" xfId="5508" xr:uid="{00000000-0005-0000-0000-0000C4020000}"/>
    <cellStyle name="▲_ＬＶ他社メーカー価格棚卸しリスト_【0907ライン別現象別比較】" xfId="729" xr:uid="{00000000-0005-0000-0000-0000C5020000}"/>
    <cellStyle name="▲_ＬＶ他社メーカー価格棚卸しリスト_【業連】生本ビ 12-36 13年度ﾋﾞﾙ短計ｶﾞｲﾄﾞﾗｲﾝ" xfId="730" xr:uid="{00000000-0005-0000-0000-0000C6020000}"/>
    <cellStyle name="▲_ＬＶ他社メーカー価格棚卸しリスト_【業連】生本ビ 12-36 13年度ﾋﾞﾙ短計ｶﾞｲﾄﾞﾗｲﾝ 2" xfId="5509" xr:uid="{00000000-0005-0000-0000-0000C7020000}"/>
    <cellStyle name="▲_ＬＶ他社メーカー価格棚卸しリスト_【清水B】11年度フォローシート【品質】" xfId="731" xr:uid="{00000000-0005-0000-0000-0000C8020000}"/>
    <cellStyle name="▲_ＬＶ他社メーカー価格棚卸しリスト_【品質保証レベル（外観含み）】（製造課定義）xls" xfId="732" xr:uid="{00000000-0005-0000-0000-0000C9020000}"/>
    <cellStyle name="▲_ＬＶ他社メーカー価格棚卸しリスト_【品質保証レベル向上（まとめ）】" xfId="733" xr:uid="{00000000-0005-0000-0000-0000CA020000}"/>
    <cellStyle name="▲_ＬＶ他社メーカー価格棚卸しリスト_【有賀】09なし 間違い方策展開系統図 " xfId="734" xr:uid="{00000000-0005-0000-0000-0000CB020000}"/>
    <cellStyle name="▲_ＬＶ他社メーカー価格棚卸しリスト_■【12ライン別】製造原価率推移グラフ" xfId="735" xr:uid="{00000000-0005-0000-0000-0000CC020000}"/>
    <cellStyle name="▲_ＬＶ他社メーカー価格棚卸しリスト_０５年度方針実績" xfId="736" xr:uid="{00000000-0005-0000-0000-0000CD020000}"/>
    <cellStyle name="▲_ＬＶ他社メーカー価格棚卸しリスト_110706【清水Ｂ品質保証レベル向上進捗シート】xls" xfId="737" xr:uid="{00000000-0005-0000-0000-0000CE020000}"/>
    <cellStyle name="▲_ＬＶ他社メーカー価格棚卸しリスト_12年度本部長診断現場報告ドア枠" xfId="738" xr:uid="{00000000-0005-0000-0000-0000CF020000}"/>
    <cellStyle name="▲_ＬＶ他社メーカー価格棚卸しリスト_12年度本部長診断現場報告ドア枠 2" xfId="5510" xr:uid="{00000000-0005-0000-0000-0000D0020000}"/>
    <cellStyle name="▲_ＬＶ他社メーカー価格棚卸しリスト_13年度上期生産性計画" xfId="739" xr:uid="{00000000-0005-0000-0000-0000D1020000}"/>
    <cellStyle name="▲_ＬＶ他社メーカー価格棚卸しリスト_13年度反省書(SR係)" xfId="740" xr:uid="{00000000-0005-0000-0000-0000D2020000}"/>
    <cellStyle name="▲_ＬＶ他社メーカー価格棚卸しリスト_35回品質実践研テーマ" xfId="741" xr:uid="{00000000-0005-0000-0000-0000D3020000}"/>
    <cellStyle name="▲_ＬＶ他社メーカー価格棚卸しリスト_ＢＰ説明資料" xfId="742" xr:uid="{00000000-0005-0000-0000-0000D4020000}"/>
    <cellStyle name="▲_ＬＶ他社メーカー価格棚卸しリスト_FA" xfId="743" xr:uid="{00000000-0005-0000-0000-0000D5020000}"/>
    <cellStyle name="▲_ＬＶ他社メーカー価格棚卸しリスト_FA 2" xfId="5511" xr:uid="{00000000-0005-0000-0000-0000D6020000}"/>
    <cellStyle name="▲_ＬＶ他社メーカー価格棚卸しリスト_Ｈ改善ＳＨ" xfId="744" xr:uid="{00000000-0005-0000-0000-0000D7020000}"/>
    <cellStyle name="▲_ＬＶ他社メーカー価格棚卸しリスト_Sheet1" xfId="745" xr:uid="{00000000-0005-0000-0000-0000D8020000}"/>
    <cellStyle name="▲_ＬＶ他社メーカー価格棚卸しリスト_TOPS実践スケジュール（土浦_K" xfId="746" xr:uid="{00000000-0005-0000-0000-0000D9020000}"/>
    <cellStyle name="▲_ＬＶ他社メーカー価格棚卸しリスト_アトモス報告書買取残" xfId="747" xr:uid="{00000000-0005-0000-0000-0000DA020000}"/>
    <cellStyle name="▲_ＬＶ他社メーカー価格棚卸しリスト_アトモス報告書買取残_14年度下期見直し短計原価ｶﾞｲﾄﾞ" xfId="748" xr:uid="{00000000-0005-0000-0000-0000DB020000}"/>
    <cellStyle name="▲_ＬＶ他社メーカー価格棚卸しリスト_アトモス報告書買取残_別紙①-2 14年度ビル商品出庫計画" xfId="749" xr:uid="{00000000-0005-0000-0000-0000DC020000}"/>
    <cellStyle name="▲_ＬＶ他社メーカー価格棚卸しリスト_ページ1" xfId="750" xr:uid="{00000000-0005-0000-0000-0000DD020000}"/>
    <cellStyle name="▲_ＬＶ他社メーカー価格棚卸しリスト_ページ1 2" xfId="5512" xr:uid="{00000000-0005-0000-0000-0000DE020000}"/>
    <cellStyle name="▲_ＬＶ他社メーカー価格棚卸しリスト_リシェントＴＯＰＳ" xfId="751" xr:uid="{00000000-0005-0000-0000-0000DF020000}"/>
    <cellStyle name="▲_ＬＶ他社メーカー価格棚卸しリスト_リシェントＴＯＰＳ 2" xfId="5513" xr:uid="{00000000-0005-0000-0000-0000E0020000}"/>
    <cellStyle name="▲_ＬＶ他社メーカー価格棚卸しリスト_活動内容(13年振返り14年進め方）" xfId="752" xr:uid="{00000000-0005-0000-0000-0000E1020000}"/>
    <cellStyle name="▲_ＬＶ他社メーカー価格棚卸しリスト_活動内容(13年振返り14年進め方） 2" xfId="5514" xr:uid="{00000000-0005-0000-0000-0000E2020000}"/>
    <cellStyle name="▲_ＬＶ他社メーカー価格棚卸しリスト_管轄ﾗｲﾝ構成1" xfId="753" xr:uid="{00000000-0005-0000-0000-0000E3020000}"/>
    <cellStyle name="▲_ＬＶ他社メーカー価格棚卸しリスト_工場長診断ドア" xfId="754" xr:uid="{00000000-0005-0000-0000-0000E4020000}"/>
    <cellStyle name="▲_ＬＶ他社メーカー価格棚卸しリスト_神奈川工務体制" xfId="755" xr:uid="{00000000-0005-0000-0000-0000E5020000}"/>
    <cellStyle name="▲_ＬＶ他社メーカー価格棚卸しリスト_設技12-004" xfId="756" xr:uid="{00000000-0005-0000-0000-0000E6020000}"/>
    <cellStyle name="▲_ＬＶ他社メーカー価格棚卸しリスト_専務診断報告資料(05.03.30)xls" xfId="757" xr:uid="{00000000-0005-0000-0000-0000E7020000}"/>
    <cellStyle name="▲_ＬＶ他社メーカー価格棚卸しリスト_専務診断報告資料（０６年３月度）" xfId="758" xr:uid="{00000000-0005-0000-0000-0000E8020000}"/>
    <cellStyle name="▲_ＬＶ他社メーカー価格棚卸しリスト_第33回品質実践研テーマ" xfId="759" xr:uid="{00000000-0005-0000-0000-0000E9020000}"/>
    <cellStyle name="▲_ＬＶ他社メーカー価格棚卸しリスト_第34回品質実践研テーマ" xfId="760" xr:uid="{00000000-0005-0000-0000-0000EA020000}"/>
    <cellStyle name="▲_ＬＶ他社メーカー価格棚卸しリスト_第36回品質実践研テーマ" xfId="761" xr:uid="{00000000-0005-0000-0000-0000EB020000}"/>
    <cellStyle name="▲_ＬＶ他社メーカー価格棚卸しリスト_第37回品質実践件テーマ（玄収扉）" xfId="762" xr:uid="{00000000-0005-0000-0000-0000EC020000}"/>
    <cellStyle name="▲_ＬＶ他社メーカー価格棚卸しリスト_第37回品質実践研テーマ" xfId="763" xr:uid="{00000000-0005-0000-0000-0000ED020000}"/>
    <cellStyle name="▲_ＬＶ他社メーカー価格棚卸しリスト_第38回品質実践研テーマ" xfId="764" xr:uid="{00000000-0005-0000-0000-0000EE020000}"/>
    <cellStyle name="▲_ＬＶ他社メーカー価格棚卸しリスト_第39回品質実践研テーマ（クロ本体）" xfId="765" xr:uid="{00000000-0005-0000-0000-0000EF020000}"/>
    <cellStyle name="▲_ＬＶ他社メーカー価格棚卸しリスト_第40回品質実践研テーマ" xfId="766" xr:uid="{00000000-0005-0000-0000-0000F0020000}"/>
    <cellStyle name="▲_ＬＶ他社メーカー価格棚卸しリスト_第４１回品質実践研（養生）" xfId="767" xr:uid="{00000000-0005-0000-0000-0000F1020000}"/>
    <cellStyle name="▲_ＬＶ他社メーカー価格棚卸しリスト_第41回品質実践研テーマ（玄収扉）" xfId="768" xr:uid="{00000000-0005-0000-0000-0000F2020000}"/>
    <cellStyle name="▲_ＬＶ他社メーカー価格棚卸しリスト_品質レベル（ドア枠Ｂ）" xfId="769" xr:uid="{00000000-0005-0000-0000-0000F3020000}"/>
    <cellStyle name="▲_ＬＶ他社メーカー価格棚卸しリスト_本部長診断会ドア" xfId="770" xr:uid="{00000000-0005-0000-0000-0000F4020000}"/>
    <cellStyle name="▲_ＮＷＬ（０４０９・１１発売）  試作機種明細" xfId="771" xr:uid="{00000000-0005-0000-0000-0000F5020000}"/>
    <cellStyle name="▲_ＮＷＬ（０４０９・１１発売）  試作機種明細 2" xfId="5515" xr:uid="{00000000-0005-0000-0000-0000F6020000}"/>
    <cellStyle name="▲_ＮＷＬ（０４０９・１１発売）  試作機種明細_【0907ライン別現象別比較】" xfId="772" xr:uid="{00000000-0005-0000-0000-0000F7020000}"/>
    <cellStyle name="▲_ＮＷＬ（０４０９・１１発売）  試作機種明細_【品質保証レベル（外観含み）】（製造課定義）xls" xfId="773" xr:uid="{00000000-0005-0000-0000-0000F8020000}"/>
    <cellStyle name="▲_ＮＷＬ（０４０９・１１発売）  試作機種明細_【品質保証レベル】（製造課定義）xls" xfId="774" xr:uid="{00000000-0005-0000-0000-0000F9020000}"/>
    <cellStyle name="▲_ＮＷＬ（０４０９・１１発売）  試作機種明細_【品質保証レベル向上（まとめ）】" xfId="775" xr:uid="{00000000-0005-0000-0000-0000FA020000}"/>
    <cellStyle name="▲_ＮＷＬ（０４０９・１１発売）  試作機種明細_【有賀】09なし 間違い方策展開系統図 " xfId="776" xr:uid="{00000000-0005-0000-0000-0000FB020000}"/>
    <cellStyle name="▲_ＮＷＬ（０４０９・１１発売）  試作機種明細_35回品質実践研テーマ" xfId="777" xr:uid="{00000000-0005-0000-0000-0000FC020000}"/>
    <cellStyle name="▲_ＮＷＬ（０４０９・１１発売）  試作機種明細_FA" xfId="778" xr:uid="{00000000-0005-0000-0000-0000FD020000}"/>
    <cellStyle name="▲_ＮＷＬ（０４０９・１１発売）  試作機種明細_FA 2" xfId="5516" xr:uid="{00000000-0005-0000-0000-0000FE020000}"/>
    <cellStyle name="▲_ＮＷＬ（０４０９・１１発売）  試作機種明細_玄収扉レベル向上進捗シート" xfId="779" xr:uid="{00000000-0005-0000-0000-0000FF020000}"/>
    <cellStyle name="▲_ＮＷＬ（０４０９・１１発売）  試作機種明細_第33回品質実践研テーマ" xfId="780" xr:uid="{00000000-0005-0000-0000-000000030000}"/>
    <cellStyle name="▲_ＮＷＬ（０４０９・１１発売）  試作機種明細_第34回品質実践研テーマ" xfId="781" xr:uid="{00000000-0005-0000-0000-000001030000}"/>
    <cellStyle name="▲_ＮＷＬ（０４０９・１１発売）  試作機種明細_第36回品質実践研テーマ" xfId="782" xr:uid="{00000000-0005-0000-0000-000002030000}"/>
    <cellStyle name="▲_ＮＷＬ（０４０９・１１発売）  試作機種明細_第37回品質実践件テーマ（玄収扉）" xfId="783" xr:uid="{00000000-0005-0000-0000-000003030000}"/>
    <cellStyle name="▲_ＮＷＬ（０４０９・１１発売）  試作機種明細_第37回品質実践研テーマ" xfId="784" xr:uid="{00000000-0005-0000-0000-000004030000}"/>
    <cellStyle name="▲_ＮＷＬ（０４０９・１１発売）  試作機種明細_第38回品質実践研テーマ" xfId="785" xr:uid="{00000000-0005-0000-0000-000005030000}"/>
    <cellStyle name="▲_ＮＷＬ（０４０９・１１発売）  試作機種明細_第39回品質実践研テーマ（クロ本体）" xfId="786" xr:uid="{00000000-0005-0000-0000-000006030000}"/>
    <cellStyle name="▲_ＮＷＬ（０４０９・１１発売）  試作機種明細_第40回品質実践研テーマ" xfId="787" xr:uid="{00000000-0005-0000-0000-000007030000}"/>
    <cellStyle name="▲_ＮＷＬ（０４０９・１１発売）  試作機種明細_第４１回品質実践研（養生）" xfId="788" xr:uid="{00000000-0005-0000-0000-000008030000}"/>
    <cellStyle name="▲_ＮＷＬ（０４０９・１１発売）  試作機種明細_第41回品質実践研テーマ（玄収扉）" xfId="789" xr:uid="{00000000-0005-0000-0000-000009030000}"/>
    <cellStyle name="▲_ＮＷＬ（０４０９・１１発売）  試作機種明細_品質レベル（ドア枠Ｂ）" xfId="790" xr:uid="{00000000-0005-0000-0000-00000A030000}"/>
    <cellStyle name="▲_NWL関連OR切替一覧0624" xfId="791" xr:uid="{00000000-0005-0000-0000-00000B030000}"/>
    <cellStyle name="▲_NWL新規部品一覧04.7.5② " xfId="792" xr:uid="{00000000-0005-0000-0000-00000C030000}"/>
    <cellStyle name="▲_NWL新規部品一覧04.7.5② _方針発表会課題一覧" xfId="3056" xr:uid="{00000000-0005-0000-0000-00000D030000}"/>
    <cellStyle name="▲_ＰＴ" xfId="77" xr:uid="{00000000-0005-0000-0000-00000E030000}"/>
    <cellStyle name="▲_ＰＴ 2" xfId="3057" xr:uid="{00000000-0005-0000-0000-00000F030000}"/>
    <cellStyle name="▲_ＰＴ 2 2" xfId="3058" xr:uid="{00000000-0005-0000-0000-000010030000}"/>
    <cellStyle name="▲_ＰＴ 3" xfId="3059" xr:uid="{00000000-0005-0000-0000-000011030000}"/>
    <cellStyle name="▲_ＰＴ 3 2" xfId="3060" xr:uid="{00000000-0005-0000-0000-000012030000}"/>
    <cellStyle name="▲_ＰＴ 3 2 2" xfId="3061" xr:uid="{00000000-0005-0000-0000-000013030000}"/>
    <cellStyle name="▲_ＰＴ 3 3" xfId="3062" xr:uid="{00000000-0005-0000-0000-000014030000}"/>
    <cellStyle name="▲_ＰＴ 4" xfId="3063" xr:uid="{00000000-0005-0000-0000-000015030000}"/>
    <cellStyle name="▲_ＰＴ_(SR海外)_工程台帳" xfId="793" xr:uid="{00000000-0005-0000-0000-000016030000}"/>
    <cellStyle name="▲_ＰＴ_(SR海外)_工程台帳 2" xfId="5517" xr:uid="{00000000-0005-0000-0000-000017030000}"/>
    <cellStyle name="▲_ＰＴ_《PL枠》12年度目指すべき姿" xfId="794" xr:uid="{00000000-0005-0000-0000-000018030000}"/>
    <cellStyle name="▲_ＰＴ_《PL枠》12年度目指すべき姿 2" xfId="5518" xr:uid="{00000000-0005-0000-0000-000019030000}"/>
    <cellStyle name="▲_ＰＴ_《ベルスク２》12年度目指すべき姿" xfId="795" xr:uid="{00000000-0005-0000-0000-00001A030000}"/>
    <cellStyle name="▲_ＰＴ_《ベルスク２》12年度目指すべき姿 2" xfId="5519" xr:uid="{00000000-0005-0000-0000-00001B030000}"/>
    <cellStyle name="▲_ＰＴ_【0907ライン別現象別比較】" xfId="796" xr:uid="{00000000-0005-0000-0000-00001C030000}"/>
    <cellStyle name="▲_ＰＴ_【業連】生本ビ 12-36 13年度ﾋﾞﾙ短計ｶﾞｲﾄﾞﾗｲﾝ" xfId="797" xr:uid="{00000000-0005-0000-0000-00001D030000}"/>
    <cellStyle name="▲_ＰＴ_【業連】生本ビ 12-36 13年度ﾋﾞﾙ短計ｶﾞｲﾄﾞﾗｲﾝ 2" xfId="5520" xr:uid="{00000000-0005-0000-0000-00001E030000}"/>
    <cellStyle name="▲_ＰＴ_【清水B】11年度フォローシート【品質】" xfId="798" xr:uid="{00000000-0005-0000-0000-00001F030000}"/>
    <cellStyle name="▲_ＰＴ_【品質保証レベル（外観含み）】（製造課定義）xls" xfId="799" xr:uid="{00000000-0005-0000-0000-000020030000}"/>
    <cellStyle name="▲_ＰＴ_【品質保証レベル向上（まとめ）】" xfId="800" xr:uid="{00000000-0005-0000-0000-000021030000}"/>
    <cellStyle name="▲_ＰＴ_【有賀】09なし 間違い方策展開系統図 " xfId="801" xr:uid="{00000000-0005-0000-0000-000022030000}"/>
    <cellStyle name="▲_ＰＴ_■【12ライン別】製造原価率推移グラフ" xfId="802" xr:uid="{00000000-0005-0000-0000-000023030000}"/>
    <cellStyle name="▲_ＰＴ_０５年度方針実績" xfId="803" xr:uid="{00000000-0005-0000-0000-000024030000}"/>
    <cellStyle name="▲_ＰＴ_110706【清水Ｂ品質保証レベル向上進捗シート】xls" xfId="804" xr:uid="{00000000-0005-0000-0000-000025030000}"/>
    <cellStyle name="▲_ＰＴ_12年度本部長診断現場報告ドア枠" xfId="805" xr:uid="{00000000-0005-0000-0000-000026030000}"/>
    <cellStyle name="▲_ＰＴ_12年度本部長診断現場報告ドア枠 2" xfId="5521" xr:uid="{00000000-0005-0000-0000-000027030000}"/>
    <cellStyle name="▲_ＰＴ_13年度上期生産性計画" xfId="806" xr:uid="{00000000-0005-0000-0000-000028030000}"/>
    <cellStyle name="▲_ＰＴ_13年度反省書(SR係)" xfId="807" xr:uid="{00000000-0005-0000-0000-000029030000}"/>
    <cellStyle name="▲_ＰＴ_35回品質実践研テーマ" xfId="808" xr:uid="{00000000-0005-0000-0000-00002A030000}"/>
    <cellStyle name="▲_ＰＴ_ＢＰ説明資料" xfId="809" xr:uid="{00000000-0005-0000-0000-00002B030000}"/>
    <cellStyle name="▲_ＰＴ_FA" xfId="810" xr:uid="{00000000-0005-0000-0000-00002C030000}"/>
    <cellStyle name="▲_ＰＴ_FA 2" xfId="5522" xr:uid="{00000000-0005-0000-0000-00002D030000}"/>
    <cellStyle name="▲_ＰＴ_Ｈ改善ＳＨ" xfId="811" xr:uid="{00000000-0005-0000-0000-00002E030000}"/>
    <cellStyle name="▲_ＰＴ_Sheet1" xfId="812" xr:uid="{00000000-0005-0000-0000-00002F030000}"/>
    <cellStyle name="▲_ＰＴ_TOPS実践スケジュール（土浦_K" xfId="813" xr:uid="{00000000-0005-0000-0000-000030030000}"/>
    <cellStyle name="▲_ＰＴ_アトモス報告書買取残" xfId="814" xr:uid="{00000000-0005-0000-0000-000031030000}"/>
    <cellStyle name="▲_ＰＴ_アトモス報告書買取残_14年度下期見直し短計原価ｶﾞｲﾄﾞ" xfId="815" xr:uid="{00000000-0005-0000-0000-000032030000}"/>
    <cellStyle name="▲_ＰＴ_アトモス報告書買取残_別紙①-2 14年度ビル商品出庫計画" xfId="816" xr:uid="{00000000-0005-0000-0000-000033030000}"/>
    <cellStyle name="▲_ＰＴ_ページ1" xfId="817" xr:uid="{00000000-0005-0000-0000-000034030000}"/>
    <cellStyle name="▲_ＰＴ_ページ1 2" xfId="5523" xr:uid="{00000000-0005-0000-0000-000035030000}"/>
    <cellStyle name="▲_ＰＴ_リシェントＴＯＰＳ" xfId="818" xr:uid="{00000000-0005-0000-0000-000036030000}"/>
    <cellStyle name="▲_ＰＴ_リシェントＴＯＰＳ 2" xfId="5524" xr:uid="{00000000-0005-0000-0000-000037030000}"/>
    <cellStyle name="▲_ＰＴ_活動内容(13年振返り14年進め方）" xfId="819" xr:uid="{00000000-0005-0000-0000-000038030000}"/>
    <cellStyle name="▲_ＰＴ_活動内容(13年振返り14年進め方） 2" xfId="5525" xr:uid="{00000000-0005-0000-0000-000039030000}"/>
    <cellStyle name="▲_ＰＴ_管轄ﾗｲﾝ構成1" xfId="820" xr:uid="{00000000-0005-0000-0000-00003A030000}"/>
    <cellStyle name="▲_ＰＴ_工場長診断ドア" xfId="821" xr:uid="{00000000-0005-0000-0000-00003B030000}"/>
    <cellStyle name="▲_ＰＴ_神奈川工務体制" xfId="822" xr:uid="{00000000-0005-0000-0000-00003C030000}"/>
    <cellStyle name="▲_ＰＴ_設技12-004" xfId="823" xr:uid="{00000000-0005-0000-0000-00003D030000}"/>
    <cellStyle name="▲_ＰＴ_専務診断報告資料(05.03.30)xls" xfId="824" xr:uid="{00000000-0005-0000-0000-00003E030000}"/>
    <cellStyle name="▲_ＰＴ_専務診断報告資料（０６年３月度）" xfId="825" xr:uid="{00000000-0005-0000-0000-00003F030000}"/>
    <cellStyle name="▲_ＰＴ_第33回品質実践研テーマ" xfId="826" xr:uid="{00000000-0005-0000-0000-000040030000}"/>
    <cellStyle name="▲_ＰＴ_第34回品質実践研テーマ" xfId="827" xr:uid="{00000000-0005-0000-0000-000041030000}"/>
    <cellStyle name="▲_ＰＴ_第36回品質実践研テーマ" xfId="828" xr:uid="{00000000-0005-0000-0000-000042030000}"/>
    <cellStyle name="▲_ＰＴ_第37回品質実践件テーマ（玄収扉）" xfId="829" xr:uid="{00000000-0005-0000-0000-000043030000}"/>
    <cellStyle name="▲_ＰＴ_第37回品質実践研テーマ" xfId="830" xr:uid="{00000000-0005-0000-0000-000044030000}"/>
    <cellStyle name="▲_ＰＴ_第38回品質実践研テーマ" xfId="831" xr:uid="{00000000-0005-0000-0000-000045030000}"/>
    <cellStyle name="▲_ＰＴ_第39回品質実践研テーマ（クロ本体）" xfId="832" xr:uid="{00000000-0005-0000-0000-000046030000}"/>
    <cellStyle name="▲_ＰＴ_第40回品質実践研テーマ" xfId="833" xr:uid="{00000000-0005-0000-0000-000047030000}"/>
    <cellStyle name="▲_ＰＴ_第４１回品質実践研（養生）" xfId="834" xr:uid="{00000000-0005-0000-0000-000048030000}"/>
    <cellStyle name="▲_ＰＴ_第41回品質実践研テーマ（玄収扉）" xfId="835" xr:uid="{00000000-0005-0000-0000-000049030000}"/>
    <cellStyle name="▲_ＰＴ_品質レベル（ドア枠Ｂ）" xfId="836" xr:uid="{00000000-0005-0000-0000-00004A030000}"/>
    <cellStyle name="▲_ＰＴ_本部長診断会ドア" xfId="837" xr:uid="{00000000-0005-0000-0000-00004B030000}"/>
    <cellStyle name="▲_Q7_在庫設定   NAKAO  SAN  120307" xfId="838" xr:uid="{00000000-0005-0000-0000-00004C030000}"/>
    <cellStyle name="▲_Q7_在庫設定   NAKAO  SAN  120307 2" xfId="5526" xr:uid="{00000000-0005-0000-0000-00004D030000}"/>
    <cellStyle name="▲_Q7_在庫設定   NAKAO  SAN  120307_【13計画】工場クレーム費【工場別グラフ（品質）】" xfId="839" xr:uid="{00000000-0005-0000-0000-00004E030000}"/>
    <cellStyle name="▲_Q7_在庫設定   NAKAO  SAN  120307_【業連】生本ビ 12-36 13年度ﾋﾞﾙ短計ｶﾞｲﾄﾞﾗｲﾝ" xfId="840" xr:uid="{00000000-0005-0000-0000-00004F030000}"/>
    <cellStyle name="▲_Q7_在庫設定   NAKAO  SAN  120307_【業連】生本ビ 12-36 13年度ﾋﾞﾙ短計ｶﾞｲﾄﾞﾗｲﾝ 2" xfId="5527" xr:uid="{00000000-0005-0000-0000-000050030000}"/>
    <cellStyle name="▲_Q7_在庫設定   NAKAO  SAN  120307_1" xfId="841" xr:uid="{00000000-0005-0000-0000-000051030000}"/>
    <cellStyle name="▲_Q7_在庫設定   NAKAO  SAN  120307_1 2" xfId="5528" xr:uid="{00000000-0005-0000-0000-000052030000}"/>
    <cellStyle name="▲_Q7_在庫設定   NAKAO  SAN  120307_1_【13計画】工場クレーム費【工場別グラフ（品質）】" xfId="842" xr:uid="{00000000-0005-0000-0000-000053030000}"/>
    <cellStyle name="▲_Q7_在庫設定   NAKAO  SAN  120307_1_【業連】生本ビ 12-36 13年度ﾋﾞﾙ短計ｶﾞｲﾄﾞﾗｲﾝ" xfId="843" xr:uid="{00000000-0005-0000-0000-000054030000}"/>
    <cellStyle name="▲_Q7_在庫設定   NAKAO  SAN  120307_1_【業連】生本ビ 12-36 13年度ﾋﾞﾙ短計ｶﾞｲﾄﾞﾗｲﾝ 2" xfId="5529" xr:uid="{00000000-0005-0000-0000-000055030000}"/>
    <cellStyle name="▲_Sheet6" xfId="78" xr:uid="{00000000-0005-0000-0000-000056030000}"/>
    <cellStyle name="▲_Sheet6 2" xfId="3064" xr:uid="{00000000-0005-0000-0000-000057030000}"/>
    <cellStyle name="▲_Sheet6 2 2" xfId="3065" xr:uid="{00000000-0005-0000-0000-000058030000}"/>
    <cellStyle name="▲_Sheet6 3" xfId="3066" xr:uid="{00000000-0005-0000-0000-000059030000}"/>
    <cellStyle name="▲_Sheet6 3 2" xfId="3067" xr:uid="{00000000-0005-0000-0000-00005A030000}"/>
    <cellStyle name="▲_Sheet6 3 2 2" xfId="3068" xr:uid="{00000000-0005-0000-0000-00005B030000}"/>
    <cellStyle name="▲_Sheet6 3 3" xfId="3069" xr:uid="{00000000-0005-0000-0000-00005C030000}"/>
    <cellStyle name="▲_Sheet6 4" xfId="3070" xr:uid="{00000000-0005-0000-0000-00005D030000}"/>
    <cellStyle name="▲_Sheet6_(SR海外)_工程台帳" xfId="844" xr:uid="{00000000-0005-0000-0000-00005E030000}"/>
    <cellStyle name="▲_Sheet6_(SR海外)_工程台帳 2" xfId="5530" xr:uid="{00000000-0005-0000-0000-00005F030000}"/>
    <cellStyle name="▲_Sheet6_《PL枠》12年度目指すべき姿" xfId="845" xr:uid="{00000000-0005-0000-0000-000060030000}"/>
    <cellStyle name="▲_Sheet6_《PL枠》12年度目指すべき姿 2" xfId="5531" xr:uid="{00000000-0005-0000-0000-000061030000}"/>
    <cellStyle name="▲_Sheet6_《ベルスク２》12年度目指すべき姿" xfId="846" xr:uid="{00000000-0005-0000-0000-000062030000}"/>
    <cellStyle name="▲_Sheet6_《ベルスク２》12年度目指すべき姿 2" xfId="5532" xr:uid="{00000000-0005-0000-0000-000063030000}"/>
    <cellStyle name="▲_Sheet6_【0907ライン別現象別比較】" xfId="847" xr:uid="{00000000-0005-0000-0000-000064030000}"/>
    <cellStyle name="▲_Sheet6_【業連】生本ビ 12-36 13年度ﾋﾞﾙ短計ｶﾞｲﾄﾞﾗｲﾝ" xfId="848" xr:uid="{00000000-0005-0000-0000-000065030000}"/>
    <cellStyle name="▲_Sheet6_【業連】生本ビ 12-36 13年度ﾋﾞﾙ短計ｶﾞｲﾄﾞﾗｲﾝ 2" xfId="5533" xr:uid="{00000000-0005-0000-0000-000066030000}"/>
    <cellStyle name="▲_Sheet6_【清水B】11年度フォローシート【品質】" xfId="849" xr:uid="{00000000-0005-0000-0000-000067030000}"/>
    <cellStyle name="▲_Sheet6_【品質保証レベル（外観含み）】（製造課定義）xls" xfId="850" xr:uid="{00000000-0005-0000-0000-000068030000}"/>
    <cellStyle name="▲_Sheet6_【品質保証レベル向上（まとめ）】" xfId="851" xr:uid="{00000000-0005-0000-0000-000069030000}"/>
    <cellStyle name="▲_Sheet6_【有賀】09なし 間違い方策展開系統図 " xfId="852" xr:uid="{00000000-0005-0000-0000-00006A030000}"/>
    <cellStyle name="▲_Sheet6_■【12ライン別】製造原価率推移グラフ" xfId="853" xr:uid="{00000000-0005-0000-0000-00006B030000}"/>
    <cellStyle name="▲_Sheet6_０５年度方針実績" xfId="854" xr:uid="{00000000-0005-0000-0000-00006C030000}"/>
    <cellStyle name="▲_Sheet6_110706【清水Ｂ品質保証レベル向上進捗シート】xls" xfId="855" xr:uid="{00000000-0005-0000-0000-00006D030000}"/>
    <cellStyle name="▲_Sheet6_12年度本部長診断現場報告ドア枠" xfId="856" xr:uid="{00000000-0005-0000-0000-00006E030000}"/>
    <cellStyle name="▲_Sheet6_12年度本部長診断現場報告ドア枠 2" xfId="5534" xr:uid="{00000000-0005-0000-0000-00006F030000}"/>
    <cellStyle name="▲_Sheet6_13年度上期生産性計画" xfId="857" xr:uid="{00000000-0005-0000-0000-000070030000}"/>
    <cellStyle name="▲_Sheet6_13年度反省書(SR係)" xfId="858" xr:uid="{00000000-0005-0000-0000-000071030000}"/>
    <cellStyle name="▲_Sheet6_35回品質実践研テーマ" xfId="859" xr:uid="{00000000-0005-0000-0000-000072030000}"/>
    <cellStyle name="▲_Sheet6_ＢＰ説明資料" xfId="860" xr:uid="{00000000-0005-0000-0000-000073030000}"/>
    <cellStyle name="▲_Sheet6_FA" xfId="861" xr:uid="{00000000-0005-0000-0000-000074030000}"/>
    <cellStyle name="▲_Sheet6_FA 2" xfId="5535" xr:uid="{00000000-0005-0000-0000-000075030000}"/>
    <cellStyle name="▲_Sheet6_Ｈ改善ＳＨ" xfId="862" xr:uid="{00000000-0005-0000-0000-000076030000}"/>
    <cellStyle name="▲_Sheet6_Sheet1" xfId="863" xr:uid="{00000000-0005-0000-0000-000077030000}"/>
    <cellStyle name="▲_Sheet6_TOPS実践スケジュール（土浦_K" xfId="864" xr:uid="{00000000-0005-0000-0000-000078030000}"/>
    <cellStyle name="▲_Sheet6_アトモス報告書買取残" xfId="865" xr:uid="{00000000-0005-0000-0000-000079030000}"/>
    <cellStyle name="▲_Sheet6_アトモス報告書買取残_14年度下期見直し短計原価ｶﾞｲﾄﾞ" xfId="866" xr:uid="{00000000-0005-0000-0000-00007A030000}"/>
    <cellStyle name="▲_Sheet6_アトモス報告書買取残_別紙①-2 14年度ビル商品出庫計画" xfId="867" xr:uid="{00000000-0005-0000-0000-00007B030000}"/>
    <cellStyle name="▲_Sheet6_ページ1" xfId="868" xr:uid="{00000000-0005-0000-0000-00007C030000}"/>
    <cellStyle name="▲_Sheet6_ページ1 2" xfId="5536" xr:uid="{00000000-0005-0000-0000-00007D030000}"/>
    <cellStyle name="▲_Sheet6_リシェントＴＯＰＳ" xfId="869" xr:uid="{00000000-0005-0000-0000-00007E030000}"/>
    <cellStyle name="▲_Sheet6_リシェントＴＯＰＳ 2" xfId="5537" xr:uid="{00000000-0005-0000-0000-00007F030000}"/>
    <cellStyle name="▲_Sheet6_活動内容(13年振返り14年進め方）" xfId="870" xr:uid="{00000000-0005-0000-0000-000080030000}"/>
    <cellStyle name="▲_Sheet6_活動内容(13年振返り14年進め方） 2" xfId="5538" xr:uid="{00000000-0005-0000-0000-000081030000}"/>
    <cellStyle name="▲_Sheet6_管轄ﾗｲﾝ構成1" xfId="871" xr:uid="{00000000-0005-0000-0000-000082030000}"/>
    <cellStyle name="▲_Sheet6_工場長診断ドア" xfId="872" xr:uid="{00000000-0005-0000-0000-000083030000}"/>
    <cellStyle name="▲_Sheet6_神奈川工務体制" xfId="873" xr:uid="{00000000-0005-0000-0000-000084030000}"/>
    <cellStyle name="▲_Sheet6_設技12-004" xfId="874" xr:uid="{00000000-0005-0000-0000-000085030000}"/>
    <cellStyle name="▲_Sheet6_専務診断報告資料(05.03.30)xls" xfId="875" xr:uid="{00000000-0005-0000-0000-000086030000}"/>
    <cellStyle name="▲_Sheet6_専務診断報告資料（０６年３月度）" xfId="876" xr:uid="{00000000-0005-0000-0000-000087030000}"/>
    <cellStyle name="▲_Sheet6_第33回品質実践研テーマ" xfId="877" xr:uid="{00000000-0005-0000-0000-000088030000}"/>
    <cellStyle name="▲_Sheet6_第34回品質実践研テーマ" xfId="878" xr:uid="{00000000-0005-0000-0000-000089030000}"/>
    <cellStyle name="▲_Sheet6_第36回品質実践研テーマ" xfId="879" xr:uid="{00000000-0005-0000-0000-00008A030000}"/>
    <cellStyle name="▲_Sheet6_第37回品質実践件テーマ（玄収扉）" xfId="880" xr:uid="{00000000-0005-0000-0000-00008B030000}"/>
    <cellStyle name="▲_Sheet6_第37回品質実践研テーマ" xfId="881" xr:uid="{00000000-0005-0000-0000-00008C030000}"/>
    <cellStyle name="▲_Sheet6_第38回品質実践研テーマ" xfId="882" xr:uid="{00000000-0005-0000-0000-00008D030000}"/>
    <cellStyle name="▲_Sheet6_第39回品質実践研テーマ（クロ本体）" xfId="883" xr:uid="{00000000-0005-0000-0000-00008E030000}"/>
    <cellStyle name="▲_Sheet6_第40回品質実践研テーマ" xfId="884" xr:uid="{00000000-0005-0000-0000-00008F030000}"/>
    <cellStyle name="▲_Sheet6_第４１回品質実践研（養生）" xfId="885" xr:uid="{00000000-0005-0000-0000-000090030000}"/>
    <cellStyle name="▲_Sheet6_第41回品質実践研テーマ（玄収扉）" xfId="886" xr:uid="{00000000-0005-0000-0000-000091030000}"/>
    <cellStyle name="▲_Sheet6_品質レベル（ドア枠Ｂ）" xfId="887" xr:uid="{00000000-0005-0000-0000-000092030000}"/>
    <cellStyle name="▲_Sheet6_本部長診断会ドア" xfId="888" xr:uid="{00000000-0005-0000-0000-000093030000}"/>
    <cellStyle name="▲_Sheet7" xfId="79" xr:uid="{00000000-0005-0000-0000-000094030000}"/>
    <cellStyle name="▲_Sheet7 2" xfId="3071" xr:uid="{00000000-0005-0000-0000-000095030000}"/>
    <cellStyle name="▲_Sheet7 2 2" xfId="3072" xr:uid="{00000000-0005-0000-0000-000096030000}"/>
    <cellStyle name="▲_Sheet7 3" xfId="3073" xr:uid="{00000000-0005-0000-0000-000097030000}"/>
    <cellStyle name="▲_Sheet7 3 2" xfId="3074" xr:uid="{00000000-0005-0000-0000-000098030000}"/>
    <cellStyle name="▲_Sheet7 3 2 2" xfId="3075" xr:uid="{00000000-0005-0000-0000-000099030000}"/>
    <cellStyle name="▲_Sheet7 3 3" xfId="3076" xr:uid="{00000000-0005-0000-0000-00009A030000}"/>
    <cellStyle name="▲_Sheet7 4" xfId="3077" xr:uid="{00000000-0005-0000-0000-00009B030000}"/>
    <cellStyle name="▲_Sheet7_(SR海外)_工程台帳" xfId="889" xr:uid="{00000000-0005-0000-0000-00009C030000}"/>
    <cellStyle name="▲_Sheet7_(SR海外)_工程台帳 2" xfId="5539" xr:uid="{00000000-0005-0000-0000-00009D030000}"/>
    <cellStyle name="▲_Sheet7_《PL枠》12年度目指すべき姿" xfId="890" xr:uid="{00000000-0005-0000-0000-00009E030000}"/>
    <cellStyle name="▲_Sheet7_《PL枠》12年度目指すべき姿 2" xfId="5540" xr:uid="{00000000-0005-0000-0000-00009F030000}"/>
    <cellStyle name="▲_Sheet7_《ベルスク２》12年度目指すべき姿" xfId="891" xr:uid="{00000000-0005-0000-0000-0000A0030000}"/>
    <cellStyle name="▲_Sheet7_《ベルスク２》12年度目指すべき姿 2" xfId="5541" xr:uid="{00000000-0005-0000-0000-0000A1030000}"/>
    <cellStyle name="▲_Sheet7_【0907ライン別現象別比較】" xfId="892" xr:uid="{00000000-0005-0000-0000-0000A2030000}"/>
    <cellStyle name="▲_Sheet7_【業連】生本ビ 12-36 13年度ﾋﾞﾙ短計ｶﾞｲﾄﾞﾗｲﾝ" xfId="893" xr:uid="{00000000-0005-0000-0000-0000A3030000}"/>
    <cellStyle name="▲_Sheet7_【業連】生本ビ 12-36 13年度ﾋﾞﾙ短計ｶﾞｲﾄﾞﾗｲﾝ 2" xfId="5542" xr:uid="{00000000-0005-0000-0000-0000A4030000}"/>
    <cellStyle name="▲_Sheet7_【清水B】11年度フォローシート【品質】" xfId="894" xr:uid="{00000000-0005-0000-0000-0000A5030000}"/>
    <cellStyle name="▲_Sheet7_【品質保証レベル（外観含み）】（製造課定義）xls" xfId="895" xr:uid="{00000000-0005-0000-0000-0000A6030000}"/>
    <cellStyle name="▲_Sheet7_【品質保証レベル向上（まとめ）】" xfId="896" xr:uid="{00000000-0005-0000-0000-0000A7030000}"/>
    <cellStyle name="▲_Sheet7_【有賀】09なし 間違い方策展開系統図 " xfId="897" xr:uid="{00000000-0005-0000-0000-0000A8030000}"/>
    <cellStyle name="▲_Sheet7_■【12ライン別】製造原価率推移グラフ" xfId="898" xr:uid="{00000000-0005-0000-0000-0000A9030000}"/>
    <cellStyle name="▲_Sheet7_０５年度方針実績" xfId="899" xr:uid="{00000000-0005-0000-0000-0000AA030000}"/>
    <cellStyle name="▲_Sheet7_110706【清水Ｂ品質保証レベル向上進捗シート】xls" xfId="900" xr:uid="{00000000-0005-0000-0000-0000AB030000}"/>
    <cellStyle name="▲_Sheet7_12年度本部長診断現場報告ドア枠" xfId="901" xr:uid="{00000000-0005-0000-0000-0000AC030000}"/>
    <cellStyle name="▲_Sheet7_12年度本部長診断現場報告ドア枠 2" xfId="5543" xr:uid="{00000000-0005-0000-0000-0000AD030000}"/>
    <cellStyle name="▲_Sheet7_13年度上期生産性計画" xfId="902" xr:uid="{00000000-0005-0000-0000-0000AE030000}"/>
    <cellStyle name="▲_Sheet7_13年度反省書(SR係)" xfId="903" xr:uid="{00000000-0005-0000-0000-0000AF030000}"/>
    <cellStyle name="▲_Sheet7_35回品質実践研テーマ" xfId="904" xr:uid="{00000000-0005-0000-0000-0000B0030000}"/>
    <cellStyle name="▲_Sheet7_ＢＰ説明資料" xfId="905" xr:uid="{00000000-0005-0000-0000-0000B1030000}"/>
    <cellStyle name="▲_Sheet7_FA" xfId="906" xr:uid="{00000000-0005-0000-0000-0000B2030000}"/>
    <cellStyle name="▲_Sheet7_FA 2" xfId="5544" xr:uid="{00000000-0005-0000-0000-0000B3030000}"/>
    <cellStyle name="▲_Sheet7_Ｈ改善ＳＨ" xfId="907" xr:uid="{00000000-0005-0000-0000-0000B4030000}"/>
    <cellStyle name="▲_Sheet7_Sheet1" xfId="908" xr:uid="{00000000-0005-0000-0000-0000B5030000}"/>
    <cellStyle name="▲_Sheet7_TOPS実践スケジュール（土浦_K" xfId="909" xr:uid="{00000000-0005-0000-0000-0000B6030000}"/>
    <cellStyle name="▲_Sheet7_アトモス報告書買取残" xfId="910" xr:uid="{00000000-0005-0000-0000-0000B7030000}"/>
    <cellStyle name="▲_Sheet7_アトモス報告書買取残_14年度下期見直し短計原価ｶﾞｲﾄﾞ" xfId="911" xr:uid="{00000000-0005-0000-0000-0000B8030000}"/>
    <cellStyle name="▲_Sheet7_アトモス報告書買取残_別紙①-2 14年度ビル商品出庫計画" xfId="912" xr:uid="{00000000-0005-0000-0000-0000B9030000}"/>
    <cellStyle name="▲_Sheet7_ページ1" xfId="913" xr:uid="{00000000-0005-0000-0000-0000BA030000}"/>
    <cellStyle name="▲_Sheet7_ページ1 2" xfId="5545" xr:uid="{00000000-0005-0000-0000-0000BB030000}"/>
    <cellStyle name="▲_Sheet7_リシェントＴＯＰＳ" xfId="914" xr:uid="{00000000-0005-0000-0000-0000BC030000}"/>
    <cellStyle name="▲_Sheet7_リシェントＴＯＰＳ 2" xfId="5546" xr:uid="{00000000-0005-0000-0000-0000BD030000}"/>
    <cellStyle name="▲_Sheet7_活動内容(13年振返り14年進め方）" xfId="915" xr:uid="{00000000-0005-0000-0000-0000BE030000}"/>
    <cellStyle name="▲_Sheet7_活動内容(13年振返り14年進め方） 2" xfId="5547" xr:uid="{00000000-0005-0000-0000-0000BF030000}"/>
    <cellStyle name="▲_Sheet7_管轄ﾗｲﾝ構成1" xfId="916" xr:uid="{00000000-0005-0000-0000-0000C0030000}"/>
    <cellStyle name="▲_Sheet7_工場長診断ドア" xfId="917" xr:uid="{00000000-0005-0000-0000-0000C1030000}"/>
    <cellStyle name="▲_Sheet7_神奈川工務体制" xfId="918" xr:uid="{00000000-0005-0000-0000-0000C2030000}"/>
    <cellStyle name="▲_Sheet7_設技12-004" xfId="919" xr:uid="{00000000-0005-0000-0000-0000C3030000}"/>
    <cellStyle name="▲_Sheet7_専務診断報告資料(05.03.30)xls" xfId="920" xr:uid="{00000000-0005-0000-0000-0000C4030000}"/>
    <cellStyle name="▲_Sheet7_専務診断報告資料（０６年３月度）" xfId="921" xr:uid="{00000000-0005-0000-0000-0000C5030000}"/>
    <cellStyle name="▲_Sheet7_第33回品質実践研テーマ" xfId="922" xr:uid="{00000000-0005-0000-0000-0000C6030000}"/>
    <cellStyle name="▲_Sheet7_第34回品質実践研テーマ" xfId="923" xr:uid="{00000000-0005-0000-0000-0000C7030000}"/>
    <cellStyle name="▲_Sheet7_第36回品質実践研テーマ" xfId="924" xr:uid="{00000000-0005-0000-0000-0000C8030000}"/>
    <cellStyle name="▲_Sheet7_第37回品質実践件テーマ（玄収扉）" xfId="925" xr:uid="{00000000-0005-0000-0000-0000C9030000}"/>
    <cellStyle name="▲_Sheet7_第37回品質実践研テーマ" xfId="926" xr:uid="{00000000-0005-0000-0000-0000CA030000}"/>
    <cellStyle name="▲_Sheet7_第38回品質実践研テーマ" xfId="927" xr:uid="{00000000-0005-0000-0000-0000CB030000}"/>
    <cellStyle name="▲_Sheet7_第39回品質実践研テーマ（クロ本体）" xfId="928" xr:uid="{00000000-0005-0000-0000-0000CC030000}"/>
    <cellStyle name="▲_Sheet7_第40回品質実践研テーマ" xfId="929" xr:uid="{00000000-0005-0000-0000-0000CD030000}"/>
    <cellStyle name="▲_Sheet7_第４１回品質実践研（養生）" xfId="930" xr:uid="{00000000-0005-0000-0000-0000CE030000}"/>
    <cellStyle name="▲_Sheet7_第41回品質実践研テーマ（玄収扉）" xfId="931" xr:uid="{00000000-0005-0000-0000-0000CF030000}"/>
    <cellStyle name="▲_Sheet7_品質レベル（ドア枠Ｂ）" xfId="932" xr:uid="{00000000-0005-0000-0000-0000D0030000}"/>
    <cellStyle name="▲_Sheet7_本部長診断会ドア" xfId="933" xr:uid="{00000000-0005-0000-0000-0000D1030000}"/>
    <cellStyle name="▲_Sheet8" xfId="80" xr:uid="{00000000-0005-0000-0000-0000D2030000}"/>
    <cellStyle name="▲_Sheet8 2" xfId="3078" xr:uid="{00000000-0005-0000-0000-0000D3030000}"/>
    <cellStyle name="▲_Sheet8 2 2" xfId="3079" xr:uid="{00000000-0005-0000-0000-0000D4030000}"/>
    <cellStyle name="▲_Sheet8 3" xfId="3080" xr:uid="{00000000-0005-0000-0000-0000D5030000}"/>
    <cellStyle name="▲_Sheet8 3 2" xfId="3081" xr:uid="{00000000-0005-0000-0000-0000D6030000}"/>
    <cellStyle name="▲_Sheet8 3 2 2" xfId="3082" xr:uid="{00000000-0005-0000-0000-0000D7030000}"/>
    <cellStyle name="▲_Sheet8 3 3" xfId="3083" xr:uid="{00000000-0005-0000-0000-0000D8030000}"/>
    <cellStyle name="▲_Sheet8 4" xfId="3084" xr:uid="{00000000-0005-0000-0000-0000D9030000}"/>
    <cellStyle name="▲_Sheet8_(SR海外)_工程台帳" xfId="934" xr:uid="{00000000-0005-0000-0000-0000DA030000}"/>
    <cellStyle name="▲_Sheet8_(SR海外)_工程台帳 2" xfId="5548" xr:uid="{00000000-0005-0000-0000-0000DB030000}"/>
    <cellStyle name="▲_Sheet8_《PL枠》12年度目指すべき姿" xfId="935" xr:uid="{00000000-0005-0000-0000-0000DC030000}"/>
    <cellStyle name="▲_Sheet8_《PL枠》12年度目指すべき姿 2" xfId="5549" xr:uid="{00000000-0005-0000-0000-0000DD030000}"/>
    <cellStyle name="▲_Sheet8_《ベルスク２》12年度目指すべき姿" xfId="936" xr:uid="{00000000-0005-0000-0000-0000DE030000}"/>
    <cellStyle name="▲_Sheet8_《ベルスク２》12年度目指すべき姿 2" xfId="5550" xr:uid="{00000000-0005-0000-0000-0000DF030000}"/>
    <cellStyle name="▲_Sheet8_【0907ライン別現象別比較】" xfId="937" xr:uid="{00000000-0005-0000-0000-0000E0030000}"/>
    <cellStyle name="▲_Sheet8_【業連】生本ビ 12-36 13年度ﾋﾞﾙ短計ｶﾞｲﾄﾞﾗｲﾝ" xfId="938" xr:uid="{00000000-0005-0000-0000-0000E1030000}"/>
    <cellStyle name="▲_Sheet8_【業連】生本ビ 12-36 13年度ﾋﾞﾙ短計ｶﾞｲﾄﾞﾗｲﾝ 2" xfId="5551" xr:uid="{00000000-0005-0000-0000-0000E2030000}"/>
    <cellStyle name="▲_Sheet8_【清水B】11年度フォローシート【品質】" xfId="939" xr:uid="{00000000-0005-0000-0000-0000E3030000}"/>
    <cellStyle name="▲_Sheet8_【品質保証レベル（外観含み）】（製造課定義）xls" xfId="940" xr:uid="{00000000-0005-0000-0000-0000E4030000}"/>
    <cellStyle name="▲_Sheet8_【品質保証レベル向上（まとめ）】" xfId="941" xr:uid="{00000000-0005-0000-0000-0000E5030000}"/>
    <cellStyle name="▲_Sheet8_【有賀】09なし 間違い方策展開系統図 " xfId="942" xr:uid="{00000000-0005-0000-0000-0000E6030000}"/>
    <cellStyle name="▲_Sheet8_■【12ライン別】製造原価率推移グラフ" xfId="943" xr:uid="{00000000-0005-0000-0000-0000E7030000}"/>
    <cellStyle name="▲_Sheet8_０５年度方針実績" xfId="944" xr:uid="{00000000-0005-0000-0000-0000E8030000}"/>
    <cellStyle name="▲_Sheet8_110706【清水Ｂ品質保証レベル向上進捗シート】xls" xfId="945" xr:uid="{00000000-0005-0000-0000-0000E9030000}"/>
    <cellStyle name="▲_Sheet8_12年度本部長診断現場報告ドア枠" xfId="946" xr:uid="{00000000-0005-0000-0000-0000EA030000}"/>
    <cellStyle name="▲_Sheet8_12年度本部長診断現場報告ドア枠 2" xfId="5552" xr:uid="{00000000-0005-0000-0000-0000EB030000}"/>
    <cellStyle name="▲_Sheet8_13年度上期生産性計画" xfId="947" xr:uid="{00000000-0005-0000-0000-0000EC030000}"/>
    <cellStyle name="▲_Sheet8_13年度反省書(SR係)" xfId="948" xr:uid="{00000000-0005-0000-0000-0000ED030000}"/>
    <cellStyle name="▲_Sheet8_35回品質実践研テーマ" xfId="949" xr:uid="{00000000-0005-0000-0000-0000EE030000}"/>
    <cellStyle name="▲_Sheet8_ＢＰ説明資料" xfId="950" xr:uid="{00000000-0005-0000-0000-0000EF030000}"/>
    <cellStyle name="▲_Sheet8_FA" xfId="951" xr:uid="{00000000-0005-0000-0000-0000F0030000}"/>
    <cellStyle name="▲_Sheet8_FA 2" xfId="5553" xr:uid="{00000000-0005-0000-0000-0000F1030000}"/>
    <cellStyle name="▲_Sheet8_Ｈ改善ＳＨ" xfId="952" xr:uid="{00000000-0005-0000-0000-0000F2030000}"/>
    <cellStyle name="▲_Sheet8_Sheet1" xfId="953" xr:uid="{00000000-0005-0000-0000-0000F3030000}"/>
    <cellStyle name="▲_Sheet8_TOPS実践スケジュール（土浦_K" xfId="954" xr:uid="{00000000-0005-0000-0000-0000F4030000}"/>
    <cellStyle name="▲_Sheet8_アトモス報告書買取残" xfId="955" xr:uid="{00000000-0005-0000-0000-0000F5030000}"/>
    <cellStyle name="▲_Sheet8_アトモス報告書買取残_14年度下期見直し短計原価ｶﾞｲﾄﾞ" xfId="956" xr:uid="{00000000-0005-0000-0000-0000F6030000}"/>
    <cellStyle name="▲_Sheet8_アトモス報告書買取残_別紙①-2 14年度ビル商品出庫計画" xfId="957" xr:uid="{00000000-0005-0000-0000-0000F7030000}"/>
    <cellStyle name="▲_Sheet8_ページ1" xfId="958" xr:uid="{00000000-0005-0000-0000-0000F8030000}"/>
    <cellStyle name="▲_Sheet8_ページ1 2" xfId="5554" xr:uid="{00000000-0005-0000-0000-0000F9030000}"/>
    <cellStyle name="▲_Sheet8_リシェントＴＯＰＳ" xfId="959" xr:uid="{00000000-0005-0000-0000-0000FA030000}"/>
    <cellStyle name="▲_Sheet8_リシェントＴＯＰＳ 2" xfId="5555" xr:uid="{00000000-0005-0000-0000-0000FB030000}"/>
    <cellStyle name="▲_Sheet8_活動内容(13年振返り14年進め方）" xfId="960" xr:uid="{00000000-0005-0000-0000-0000FC030000}"/>
    <cellStyle name="▲_Sheet8_活動内容(13年振返り14年進め方） 2" xfId="5556" xr:uid="{00000000-0005-0000-0000-0000FD030000}"/>
    <cellStyle name="▲_Sheet8_管轄ﾗｲﾝ構成1" xfId="961" xr:uid="{00000000-0005-0000-0000-0000FE030000}"/>
    <cellStyle name="▲_Sheet8_工場長診断ドア" xfId="962" xr:uid="{00000000-0005-0000-0000-0000FF030000}"/>
    <cellStyle name="▲_Sheet8_神奈川工務体制" xfId="963" xr:uid="{00000000-0005-0000-0000-000000040000}"/>
    <cellStyle name="▲_Sheet8_設技12-004" xfId="964" xr:uid="{00000000-0005-0000-0000-000001040000}"/>
    <cellStyle name="▲_Sheet8_専務診断報告資料(05.03.30)xls" xfId="965" xr:uid="{00000000-0005-0000-0000-000002040000}"/>
    <cellStyle name="▲_Sheet8_専務診断報告資料（０６年３月度）" xfId="966" xr:uid="{00000000-0005-0000-0000-000003040000}"/>
    <cellStyle name="▲_Sheet8_第33回品質実践研テーマ" xfId="967" xr:uid="{00000000-0005-0000-0000-000004040000}"/>
    <cellStyle name="▲_Sheet8_第34回品質実践研テーマ" xfId="968" xr:uid="{00000000-0005-0000-0000-000005040000}"/>
    <cellStyle name="▲_Sheet8_第36回品質実践研テーマ" xfId="969" xr:uid="{00000000-0005-0000-0000-000006040000}"/>
    <cellStyle name="▲_Sheet8_第37回品質実践件テーマ（玄収扉）" xfId="970" xr:uid="{00000000-0005-0000-0000-000007040000}"/>
    <cellStyle name="▲_Sheet8_第37回品質実践研テーマ" xfId="971" xr:uid="{00000000-0005-0000-0000-000008040000}"/>
    <cellStyle name="▲_Sheet8_第38回品質実践研テーマ" xfId="972" xr:uid="{00000000-0005-0000-0000-000009040000}"/>
    <cellStyle name="▲_Sheet8_第39回品質実践研テーマ（クロ本体）" xfId="973" xr:uid="{00000000-0005-0000-0000-00000A040000}"/>
    <cellStyle name="▲_Sheet8_第40回品質実践研テーマ" xfId="974" xr:uid="{00000000-0005-0000-0000-00000B040000}"/>
    <cellStyle name="▲_Sheet8_第４１回品質実践研（養生）" xfId="975" xr:uid="{00000000-0005-0000-0000-00000C040000}"/>
    <cellStyle name="▲_Sheet8_第41回品質実践研テーマ（玄収扉）" xfId="976" xr:uid="{00000000-0005-0000-0000-00000D040000}"/>
    <cellStyle name="▲_Sheet8_品質レベル（ドア枠Ｂ）" xfId="977" xr:uid="{00000000-0005-0000-0000-00000E040000}"/>
    <cellStyle name="▲_Sheet8_本部長診断会ドア" xfId="978" xr:uid="{00000000-0005-0000-0000-00000F040000}"/>
    <cellStyle name="▲_SK狙いの姿PART4" xfId="979" xr:uid="{00000000-0005-0000-0000-000010040000}"/>
    <cellStyle name="▲_ＳＲ活用アップ" xfId="980" xr:uid="{00000000-0005-0000-0000-000011040000}"/>
    <cellStyle name="▲_T０品試験" xfId="981" xr:uid="{00000000-0005-0000-0000-000012040000}"/>
    <cellStyle name="▲_ＴＦＣ進捗状況" xfId="81" xr:uid="{00000000-0005-0000-0000-000013040000}"/>
    <cellStyle name="▲_ＴＦＣ進捗状況 (2)" xfId="82" xr:uid="{00000000-0005-0000-0000-000014040000}"/>
    <cellStyle name="▲_ＴＦＣ進捗状況 (2) 2" xfId="3085" xr:uid="{00000000-0005-0000-0000-000015040000}"/>
    <cellStyle name="▲_ＴＦＣ進捗状況 (2) 2 2" xfId="3086" xr:uid="{00000000-0005-0000-0000-000016040000}"/>
    <cellStyle name="▲_ＴＦＣ進捗状況 (2) 3" xfId="3087" xr:uid="{00000000-0005-0000-0000-000017040000}"/>
    <cellStyle name="▲_ＴＦＣ進捗状況 (2) 3 2" xfId="3088" xr:uid="{00000000-0005-0000-0000-000018040000}"/>
    <cellStyle name="▲_ＴＦＣ進捗状況 (2) 3 2 2" xfId="3089" xr:uid="{00000000-0005-0000-0000-000019040000}"/>
    <cellStyle name="▲_ＴＦＣ進捗状況 (2) 3 3" xfId="3090" xr:uid="{00000000-0005-0000-0000-00001A040000}"/>
    <cellStyle name="▲_ＴＦＣ進捗状況 (2) 4" xfId="3091" xr:uid="{00000000-0005-0000-0000-00001B040000}"/>
    <cellStyle name="▲_ＴＦＣ進捗状況 (2)_(SR海外)_工程台帳" xfId="982" xr:uid="{00000000-0005-0000-0000-00001C040000}"/>
    <cellStyle name="▲_ＴＦＣ進捗状況 (2)_(SR海外)_工程台帳 2" xfId="5557" xr:uid="{00000000-0005-0000-0000-00001D040000}"/>
    <cellStyle name="▲_ＴＦＣ進捗状況 (2)_《PL枠》12年度目指すべき姿" xfId="983" xr:uid="{00000000-0005-0000-0000-00001E040000}"/>
    <cellStyle name="▲_ＴＦＣ進捗状況 (2)_《PL枠》12年度目指すべき姿 2" xfId="5558" xr:uid="{00000000-0005-0000-0000-00001F040000}"/>
    <cellStyle name="▲_ＴＦＣ進捗状況 (2)_《ベルスク２》12年度目指すべき姿" xfId="984" xr:uid="{00000000-0005-0000-0000-000020040000}"/>
    <cellStyle name="▲_ＴＦＣ進捗状況 (2)_《ベルスク２》12年度目指すべき姿 2" xfId="5559" xr:uid="{00000000-0005-0000-0000-000021040000}"/>
    <cellStyle name="▲_ＴＦＣ進捗状況 (2)_【0907ライン別現象別比較】" xfId="985" xr:uid="{00000000-0005-0000-0000-000022040000}"/>
    <cellStyle name="▲_ＴＦＣ進捗状況 (2)_【業連】生本ビ 12-36 13年度ﾋﾞﾙ短計ｶﾞｲﾄﾞﾗｲﾝ" xfId="986" xr:uid="{00000000-0005-0000-0000-000023040000}"/>
    <cellStyle name="▲_ＴＦＣ進捗状況 (2)_【業連】生本ビ 12-36 13年度ﾋﾞﾙ短計ｶﾞｲﾄﾞﾗｲﾝ 2" xfId="5560" xr:uid="{00000000-0005-0000-0000-000024040000}"/>
    <cellStyle name="▲_ＴＦＣ進捗状況 (2)_【清水B】11年度フォローシート【品質】" xfId="987" xr:uid="{00000000-0005-0000-0000-000025040000}"/>
    <cellStyle name="▲_ＴＦＣ進捗状況 (2)_【品質保証レベル（外観含み）】（製造課定義）xls" xfId="988" xr:uid="{00000000-0005-0000-0000-000026040000}"/>
    <cellStyle name="▲_ＴＦＣ進捗状況 (2)_【品質保証レベル向上（まとめ）】" xfId="989" xr:uid="{00000000-0005-0000-0000-000027040000}"/>
    <cellStyle name="▲_ＴＦＣ進捗状況 (2)_【有賀】09なし 間違い方策展開系統図 " xfId="990" xr:uid="{00000000-0005-0000-0000-000028040000}"/>
    <cellStyle name="▲_ＴＦＣ進捗状況 (2)_■【12ライン別】製造原価率推移グラフ" xfId="991" xr:uid="{00000000-0005-0000-0000-000029040000}"/>
    <cellStyle name="▲_ＴＦＣ進捗状況 (2)_０５年度方針実績" xfId="992" xr:uid="{00000000-0005-0000-0000-00002A040000}"/>
    <cellStyle name="▲_ＴＦＣ進捗状況 (2)_110706【清水Ｂ品質保証レベル向上進捗シート】xls" xfId="993" xr:uid="{00000000-0005-0000-0000-00002B040000}"/>
    <cellStyle name="▲_ＴＦＣ進捗状況 (2)_12年度本部長診断現場報告ドア枠" xfId="994" xr:uid="{00000000-0005-0000-0000-00002C040000}"/>
    <cellStyle name="▲_ＴＦＣ進捗状況 (2)_12年度本部長診断現場報告ドア枠 2" xfId="5561" xr:uid="{00000000-0005-0000-0000-00002D040000}"/>
    <cellStyle name="▲_ＴＦＣ進捗状況 (2)_13年度上期生産性計画" xfId="995" xr:uid="{00000000-0005-0000-0000-00002E040000}"/>
    <cellStyle name="▲_ＴＦＣ進捗状況 (2)_13年度反省書(SR係)" xfId="996" xr:uid="{00000000-0005-0000-0000-00002F040000}"/>
    <cellStyle name="▲_ＴＦＣ進捗状況 (2)_35回品質実践研テーマ" xfId="997" xr:uid="{00000000-0005-0000-0000-000030040000}"/>
    <cellStyle name="▲_ＴＦＣ進捗状況 (2)_ＢＰ説明資料" xfId="998" xr:uid="{00000000-0005-0000-0000-000031040000}"/>
    <cellStyle name="▲_ＴＦＣ進捗状況 (2)_FA" xfId="999" xr:uid="{00000000-0005-0000-0000-000032040000}"/>
    <cellStyle name="▲_ＴＦＣ進捗状況 (2)_FA 2" xfId="5562" xr:uid="{00000000-0005-0000-0000-000033040000}"/>
    <cellStyle name="▲_ＴＦＣ進捗状況 (2)_Ｈ改善ＳＨ" xfId="1000" xr:uid="{00000000-0005-0000-0000-000034040000}"/>
    <cellStyle name="▲_ＴＦＣ進捗状況 (2)_Sheet1" xfId="1001" xr:uid="{00000000-0005-0000-0000-000035040000}"/>
    <cellStyle name="▲_ＴＦＣ進捗状況 (2)_TOPS実践スケジュール（土浦_K" xfId="1002" xr:uid="{00000000-0005-0000-0000-000036040000}"/>
    <cellStyle name="▲_ＴＦＣ進捗状況 (2)_アトモス報告書買取残" xfId="1003" xr:uid="{00000000-0005-0000-0000-000037040000}"/>
    <cellStyle name="▲_ＴＦＣ進捗状況 (2)_アトモス報告書買取残_14年度下期見直し短計原価ｶﾞｲﾄﾞ" xfId="1004" xr:uid="{00000000-0005-0000-0000-000038040000}"/>
    <cellStyle name="▲_ＴＦＣ進捗状況 (2)_アトモス報告書買取残_別紙①-2 14年度ビル商品出庫計画" xfId="1005" xr:uid="{00000000-0005-0000-0000-000039040000}"/>
    <cellStyle name="▲_ＴＦＣ進捗状況 (2)_ページ1" xfId="1006" xr:uid="{00000000-0005-0000-0000-00003A040000}"/>
    <cellStyle name="▲_ＴＦＣ進捗状況 (2)_ページ1 2" xfId="5563" xr:uid="{00000000-0005-0000-0000-00003B040000}"/>
    <cellStyle name="▲_ＴＦＣ進捗状況 (2)_リシェントＴＯＰＳ" xfId="1007" xr:uid="{00000000-0005-0000-0000-00003C040000}"/>
    <cellStyle name="▲_ＴＦＣ進捗状況 (2)_リシェントＴＯＰＳ 2" xfId="5564" xr:uid="{00000000-0005-0000-0000-00003D040000}"/>
    <cellStyle name="▲_ＴＦＣ進捗状況 (2)_活動内容(13年振返り14年進め方）" xfId="1008" xr:uid="{00000000-0005-0000-0000-00003E040000}"/>
    <cellStyle name="▲_ＴＦＣ進捗状況 (2)_活動内容(13年振返り14年進め方） 2" xfId="5565" xr:uid="{00000000-0005-0000-0000-00003F040000}"/>
    <cellStyle name="▲_ＴＦＣ進捗状況 (2)_管轄ﾗｲﾝ構成1" xfId="1009" xr:uid="{00000000-0005-0000-0000-000040040000}"/>
    <cellStyle name="▲_ＴＦＣ進捗状況 (2)_工場長診断ドア" xfId="1010" xr:uid="{00000000-0005-0000-0000-000041040000}"/>
    <cellStyle name="▲_ＴＦＣ進捗状況 (2)_神奈川工務体制" xfId="1011" xr:uid="{00000000-0005-0000-0000-000042040000}"/>
    <cellStyle name="▲_ＴＦＣ進捗状況 (2)_設技12-004" xfId="1012" xr:uid="{00000000-0005-0000-0000-000043040000}"/>
    <cellStyle name="▲_ＴＦＣ進捗状況 (2)_専務診断報告資料(05.03.30)xls" xfId="1013" xr:uid="{00000000-0005-0000-0000-000044040000}"/>
    <cellStyle name="▲_ＴＦＣ進捗状況 (2)_専務診断報告資料（０６年３月度）" xfId="1014" xr:uid="{00000000-0005-0000-0000-000045040000}"/>
    <cellStyle name="▲_ＴＦＣ進捗状況 (2)_第33回品質実践研テーマ" xfId="1015" xr:uid="{00000000-0005-0000-0000-000046040000}"/>
    <cellStyle name="▲_ＴＦＣ進捗状況 (2)_第34回品質実践研テーマ" xfId="1016" xr:uid="{00000000-0005-0000-0000-000047040000}"/>
    <cellStyle name="▲_ＴＦＣ進捗状況 (2)_第36回品質実践研テーマ" xfId="1017" xr:uid="{00000000-0005-0000-0000-000048040000}"/>
    <cellStyle name="▲_ＴＦＣ進捗状況 (2)_第37回品質実践件テーマ（玄収扉）" xfId="1018" xr:uid="{00000000-0005-0000-0000-000049040000}"/>
    <cellStyle name="▲_ＴＦＣ進捗状況 (2)_第37回品質実践研テーマ" xfId="1019" xr:uid="{00000000-0005-0000-0000-00004A040000}"/>
    <cellStyle name="▲_ＴＦＣ進捗状況 (2)_第38回品質実践研テーマ" xfId="1020" xr:uid="{00000000-0005-0000-0000-00004B040000}"/>
    <cellStyle name="▲_ＴＦＣ進捗状況 (2)_第39回品質実践研テーマ（クロ本体）" xfId="1021" xr:uid="{00000000-0005-0000-0000-00004C040000}"/>
    <cellStyle name="▲_ＴＦＣ進捗状況 (2)_第40回品質実践研テーマ" xfId="1022" xr:uid="{00000000-0005-0000-0000-00004D040000}"/>
    <cellStyle name="▲_ＴＦＣ進捗状況 (2)_第４１回品質実践研（養生）" xfId="1023" xr:uid="{00000000-0005-0000-0000-00004E040000}"/>
    <cellStyle name="▲_ＴＦＣ進捗状況 (2)_第41回品質実践研テーマ（玄収扉）" xfId="1024" xr:uid="{00000000-0005-0000-0000-00004F040000}"/>
    <cellStyle name="▲_ＴＦＣ進捗状況 (2)_品質レベル（ドア枠Ｂ）" xfId="1025" xr:uid="{00000000-0005-0000-0000-000050040000}"/>
    <cellStyle name="▲_ＴＦＣ進捗状況 (2)_本部長診断会ドア" xfId="1026" xr:uid="{00000000-0005-0000-0000-000051040000}"/>
    <cellStyle name="▲_ＴＦＣ進捗状況 2" xfId="3092" xr:uid="{00000000-0005-0000-0000-000052040000}"/>
    <cellStyle name="▲_ＴＦＣ進捗状況 2 2" xfId="3093" xr:uid="{00000000-0005-0000-0000-000053040000}"/>
    <cellStyle name="▲_ＴＦＣ進捗状況 3" xfId="3094" xr:uid="{00000000-0005-0000-0000-000054040000}"/>
    <cellStyle name="▲_ＴＦＣ進捗状況 3 2" xfId="3095" xr:uid="{00000000-0005-0000-0000-000055040000}"/>
    <cellStyle name="▲_ＴＦＣ進捗状況 3 2 2" xfId="3096" xr:uid="{00000000-0005-0000-0000-000056040000}"/>
    <cellStyle name="▲_ＴＦＣ進捗状況 3 3" xfId="3097" xr:uid="{00000000-0005-0000-0000-000057040000}"/>
    <cellStyle name="▲_ＴＦＣ進捗状況 4" xfId="3098" xr:uid="{00000000-0005-0000-0000-000058040000}"/>
    <cellStyle name="▲_ＴＦＣ進捗状況 4 2" xfId="3099" xr:uid="{00000000-0005-0000-0000-000059040000}"/>
    <cellStyle name="▲_ＴＦＣ進捗状況 4 2 2" xfId="3100" xr:uid="{00000000-0005-0000-0000-00005A040000}"/>
    <cellStyle name="▲_ＴＦＣ進捗状況 4 3" xfId="3101" xr:uid="{00000000-0005-0000-0000-00005B040000}"/>
    <cellStyle name="▲_ＴＦＣ進捗状況 5" xfId="3102" xr:uid="{00000000-0005-0000-0000-00005C040000}"/>
    <cellStyle name="▲_ＴＦＣ進捗状況 5 2" xfId="3103" xr:uid="{00000000-0005-0000-0000-00005D040000}"/>
    <cellStyle name="▲_ＴＦＣ進捗状況 5 2 2" xfId="3104" xr:uid="{00000000-0005-0000-0000-00005E040000}"/>
    <cellStyle name="▲_ＴＦＣ進捗状況 5 3" xfId="3105" xr:uid="{00000000-0005-0000-0000-00005F040000}"/>
    <cellStyle name="▲_ＴＦＣ進捗状況 6" xfId="3106" xr:uid="{00000000-0005-0000-0000-000060040000}"/>
    <cellStyle name="▲_ＴＦＣ進捗状況 6 2" xfId="3107" xr:uid="{00000000-0005-0000-0000-000061040000}"/>
    <cellStyle name="▲_ＴＦＣ進捗状況 7" xfId="3108" xr:uid="{00000000-0005-0000-0000-000062040000}"/>
    <cellStyle name="▲_ＴＦＣ進捗状況 8" xfId="3109" xr:uid="{00000000-0005-0000-0000-000063040000}"/>
    <cellStyle name="▲_ＴＦＣ進捗状況_(SR海外)_工程台帳" xfId="1027" xr:uid="{00000000-0005-0000-0000-000064040000}"/>
    <cellStyle name="▲_ＴＦＣ進捗状況_(SR海外)_工程台帳 2" xfId="5566" xr:uid="{00000000-0005-0000-0000-000065040000}"/>
    <cellStyle name="▲_ＴＦＣ進捗状況_《PL枠》12年度目指すべき姿" xfId="1028" xr:uid="{00000000-0005-0000-0000-000066040000}"/>
    <cellStyle name="▲_ＴＦＣ進捗状況_《PL枠》12年度目指すべき姿 2" xfId="5567" xr:uid="{00000000-0005-0000-0000-000067040000}"/>
    <cellStyle name="▲_ＴＦＣ進捗状況_《ベルスク２》12年度目指すべき姿" xfId="1029" xr:uid="{00000000-0005-0000-0000-000068040000}"/>
    <cellStyle name="▲_ＴＦＣ進捗状況_《ベルスク２》12年度目指すべき姿 2" xfId="5568" xr:uid="{00000000-0005-0000-0000-000069040000}"/>
    <cellStyle name="▲_ＴＦＣ進捗状況_【0907ライン別現象別比較】" xfId="1030" xr:uid="{00000000-0005-0000-0000-00006A040000}"/>
    <cellStyle name="▲_ＴＦＣ進捗状況_【業連】生本ビ 12-36 13年度ﾋﾞﾙ短計ｶﾞｲﾄﾞﾗｲﾝ" xfId="1031" xr:uid="{00000000-0005-0000-0000-00006B040000}"/>
    <cellStyle name="▲_ＴＦＣ進捗状況_【業連】生本ビ 12-36 13年度ﾋﾞﾙ短計ｶﾞｲﾄﾞﾗｲﾝ 2" xfId="5569" xr:uid="{00000000-0005-0000-0000-00006C040000}"/>
    <cellStyle name="▲_ＴＦＣ進捗状況_【清水B】11年度フォローシート【品質】" xfId="1032" xr:uid="{00000000-0005-0000-0000-00006D040000}"/>
    <cellStyle name="▲_ＴＦＣ進捗状況_【品質保証レベル（外観含み）】（製造課定義）xls" xfId="1033" xr:uid="{00000000-0005-0000-0000-00006E040000}"/>
    <cellStyle name="▲_ＴＦＣ進捗状況_【品質保証レベル向上（まとめ）】" xfId="1034" xr:uid="{00000000-0005-0000-0000-00006F040000}"/>
    <cellStyle name="▲_ＴＦＣ進捗状況_【有賀】09なし 間違い方策展開系統図 " xfId="1035" xr:uid="{00000000-0005-0000-0000-000070040000}"/>
    <cellStyle name="▲_ＴＦＣ進捗状況_■【12ライン別】製造原価率推移グラフ" xfId="1036" xr:uid="{00000000-0005-0000-0000-000071040000}"/>
    <cellStyle name="▲_ＴＦＣ進捗状況_０５年度方針実績" xfId="1037" xr:uid="{00000000-0005-0000-0000-000072040000}"/>
    <cellStyle name="▲_ＴＦＣ進捗状況_110706【清水Ｂ品質保証レベル向上進捗シート】xls" xfId="1038" xr:uid="{00000000-0005-0000-0000-000073040000}"/>
    <cellStyle name="▲_ＴＦＣ進捗状況_12年度本部長診断現場報告ドア枠" xfId="1039" xr:uid="{00000000-0005-0000-0000-000074040000}"/>
    <cellStyle name="▲_ＴＦＣ進捗状況_12年度本部長診断現場報告ドア枠 2" xfId="5570" xr:uid="{00000000-0005-0000-0000-000075040000}"/>
    <cellStyle name="▲_ＴＦＣ進捗状況_13年度上期生産性計画" xfId="1040" xr:uid="{00000000-0005-0000-0000-000076040000}"/>
    <cellStyle name="▲_ＴＦＣ進捗状況_13年度反省書(SR係)" xfId="1041" xr:uid="{00000000-0005-0000-0000-000077040000}"/>
    <cellStyle name="▲_ＴＦＣ進捗状況_35回品質実践研テーマ" xfId="1042" xr:uid="{00000000-0005-0000-0000-000078040000}"/>
    <cellStyle name="▲_ＴＦＣ進捗状況_ＢＰ説明資料" xfId="1043" xr:uid="{00000000-0005-0000-0000-000079040000}"/>
    <cellStyle name="▲_ＴＦＣ進捗状況_FA" xfId="1044" xr:uid="{00000000-0005-0000-0000-00007A040000}"/>
    <cellStyle name="▲_ＴＦＣ進捗状況_FA 2" xfId="5571" xr:uid="{00000000-0005-0000-0000-00007B040000}"/>
    <cellStyle name="▲_ＴＦＣ進捗状況_Ｈ改善ＳＨ" xfId="1045" xr:uid="{00000000-0005-0000-0000-00007C040000}"/>
    <cellStyle name="▲_ＴＦＣ進捗状況_Sheet1" xfId="1046" xr:uid="{00000000-0005-0000-0000-00007D040000}"/>
    <cellStyle name="▲_ＴＦＣ進捗状況_TOPS実践スケジュール（土浦_K" xfId="1047" xr:uid="{00000000-0005-0000-0000-00007E040000}"/>
    <cellStyle name="▲_ＴＦＣ進捗状況_アトモス報告書買取残" xfId="1048" xr:uid="{00000000-0005-0000-0000-00007F040000}"/>
    <cellStyle name="▲_ＴＦＣ進捗状況_アトモス報告書買取残_14年度下期見直し短計原価ｶﾞｲﾄﾞ" xfId="1049" xr:uid="{00000000-0005-0000-0000-000080040000}"/>
    <cellStyle name="▲_ＴＦＣ進捗状況_アトモス報告書買取残_別紙①-2 14年度ビル商品出庫計画" xfId="1050" xr:uid="{00000000-0005-0000-0000-000081040000}"/>
    <cellStyle name="▲_ＴＦＣ進捗状況_ページ1" xfId="1051" xr:uid="{00000000-0005-0000-0000-000082040000}"/>
    <cellStyle name="▲_ＴＦＣ進捗状況_ページ1 2" xfId="5572" xr:uid="{00000000-0005-0000-0000-000083040000}"/>
    <cellStyle name="▲_ＴＦＣ進捗状況_リシェントＴＯＰＳ" xfId="1052" xr:uid="{00000000-0005-0000-0000-000084040000}"/>
    <cellStyle name="▲_ＴＦＣ進捗状況_リシェントＴＯＰＳ 2" xfId="5573" xr:uid="{00000000-0005-0000-0000-000085040000}"/>
    <cellStyle name="▲_ＴＦＣ進捗状況_活動内容(13年振返り14年進め方）" xfId="1053" xr:uid="{00000000-0005-0000-0000-000086040000}"/>
    <cellStyle name="▲_ＴＦＣ進捗状況_活動内容(13年振返り14年進め方） 2" xfId="5574" xr:uid="{00000000-0005-0000-0000-000087040000}"/>
    <cellStyle name="▲_ＴＦＣ進捗状況_管轄ﾗｲﾝ構成1" xfId="1054" xr:uid="{00000000-0005-0000-0000-000088040000}"/>
    <cellStyle name="▲_ＴＦＣ進捗状況_工場長診断ドア" xfId="1055" xr:uid="{00000000-0005-0000-0000-000089040000}"/>
    <cellStyle name="▲_ＴＦＣ進捗状況_神奈川工務体制" xfId="1056" xr:uid="{00000000-0005-0000-0000-00008A040000}"/>
    <cellStyle name="▲_ＴＦＣ進捗状況_設技12-004" xfId="1057" xr:uid="{00000000-0005-0000-0000-00008B040000}"/>
    <cellStyle name="▲_ＴＦＣ進捗状況_専務診断報告資料(05.03.30)xls" xfId="1058" xr:uid="{00000000-0005-0000-0000-00008C040000}"/>
    <cellStyle name="▲_ＴＦＣ進捗状況_専務診断報告資料（０６年３月度）" xfId="1059" xr:uid="{00000000-0005-0000-0000-00008D040000}"/>
    <cellStyle name="▲_ＴＦＣ進捗状況_第33回品質実践研テーマ" xfId="1060" xr:uid="{00000000-0005-0000-0000-00008E040000}"/>
    <cellStyle name="▲_ＴＦＣ進捗状況_第34回品質実践研テーマ" xfId="1061" xr:uid="{00000000-0005-0000-0000-00008F040000}"/>
    <cellStyle name="▲_ＴＦＣ進捗状況_第36回品質実践研テーマ" xfId="1062" xr:uid="{00000000-0005-0000-0000-000090040000}"/>
    <cellStyle name="▲_ＴＦＣ進捗状況_第37回品質実践件テーマ（玄収扉）" xfId="1063" xr:uid="{00000000-0005-0000-0000-000091040000}"/>
    <cellStyle name="▲_ＴＦＣ進捗状況_第37回品質実践研テーマ" xfId="1064" xr:uid="{00000000-0005-0000-0000-000092040000}"/>
    <cellStyle name="▲_ＴＦＣ進捗状況_第38回品質実践研テーマ" xfId="1065" xr:uid="{00000000-0005-0000-0000-000093040000}"/>
    <cellStyle name="▲_ＴＦＣ進捗状況_第39回品質実践研テーマ（クロ本体）" xfId="1066" xr:uid="{00000000-0005-0000-0000-000094040000}"/>
    <cellStyle name="▲_ＴＦＣ進捗状況_第40回品質実践研テーマ" xfId="1067" xr:uid="{00000000-0005-0000-0000-000095040000}"/>
    <cellStyle name="▲_ＴＦＣ進捗状況_第４１回品質実践研（養生）" xfId="1068" xr:uid="{00000000-0005-0000-0000-000096040000}"/>
    <cellStyle name="▲_ＴＦＣ進捗状況_第41回品質実践研テーマ（玄収扉）" xfId="1069" xr:uid="{00000000-0005-0000-0000-000097040000}"/>
    <cellStyle name="▲_ＴＦＣ進捗状況_品質レベル（ドア枠Ｂ）" xfId="1070" xr:uid="{00000000-0005-0000-0000-000098040000}"/>
    <cellStyle name="▲_ＴＦＣ進捗状況_本部長診断会ドア" xfId="1071" xr:uid="{00000000-0005-0000-0000-000099040000}"/>
    <cellStyle name="▲_TLC直販研修日程excel" xfId="1072" xr:uid="{00000000-0005-0000-0000-00009A040000}"/>
    <cellStyle name="▲_TLC直販研修日程excel 2" xfId="3110" xr:uid="{00000000-0005-0000-0000-00009B040000}"/>
    <cellStyle name="▲_TLC直販内装ﾘﾌｫｰﾑ研修ｶﾘｷｭﾗﾑ" xfId="1073" xr:uid="{00000000-0005-0000-0000-00009C040000}"/>
    <cellStyle name="▲_TLC直販内装ﾘﾌｫｰﾑ研修ｶﾘｷｭﾗﾑ 2" xfId="3111" xr:uid="{00000000-0005-0000-0000-00009D040000}"/>
    <cellStyle name="▲_ＴＯＰＳ基本項目評価表（ライン）" xfId="1074" xr:uid="{00000000-0005-0000-0000-00009E040000}"/>
    <cellStyle name="▲_ＴＯＰＳ基本項目評価表（ライン）_2012年度 保全担当者資料" xfId="1075" xr:uid="{00000000-0005-0000-0000-00009F040000}"/>
    <cellStyle name="▲_ＴＯＰＳ基本項目評価表（ライン）_2012年度 保全担当者資料 2" xfId="5575" xr:uid="{00000000-0005-0000-0000-0000A0040000}"/>
    <cellStyle name="▲_TOPS実践スケジュール（土浦_K" xfId="1076" xr:uid="{00000000-0005-0000-0000-0000A1040000}"/>
    <cellStyle name="▲_ＴＯＰＳ狙いの姿描き(H段窓" xfId="1077" xr:uid="{00000000-0005-0000-0000-0000A2040000}"/>
    <cellStyle name="▲_TTB560-" xfId="1078" xr:uid="{00000000-0005-0000-0000-0000A3040000}"/>
    <cellStyle name="▲_TTB560- 2" xfId="5576" xr:uid="{00000000-0005-0000-0000-0000A4040000}"/>
    <cellStyle name="▲_TTB560-_【13計画】工場クレーム費【工場別グラフ（品質）】" xfId="1079" xr:uid="{00000000-0005-0000-0000-0000A5040000}"/>
    <cellStyle name="▲_TTB560-_【業連】生本ビ 12-36 13年度ﾋﾞﾙ短計ｶﾞｲﾄﾞﾗｲﾝ" xfId="1080" xr:uid="{00000000-0005-0000-0000-0000A6040000}"/>
    <cellStyle name="▲_TTB560-_【業連】生本ビ 12-36 13年度ﾋﾞﾙ短計ｶﾞｲﾄﾞﾗｲﾝ 2" xfId="5577" xr:uid="{00000000-0005-0000-0000-0000A7040000}"/>
    <cellStyle name="▲_ＷＬドア変更点一覧表" xfId="3112" xr:uid="{00000000-0005-0000-0000-0000A8040000}"/>
    <cellStyle name="▲_アイフルＨ：部品付供給移転価格061130" xfId="1081" xr:uid="{00000000-0005-0000-0000-0000A9040000}"/>
    <cellStyle name="▲_アトモス報告書買取残" xfId="1082" xr:uid="{00000000-0005-0000-0000-0000AA040000}"/>
    <cellStyle name="▲_アトモス報告書買取残_14年度下期見直し短計原価ｶﾞｲﾄﾞ" xfId="1083" xr:uid="{00000000-0005-0000-0000-0000AB040000}"/>
    <cellStyle name="▲_アトモス報告書買取残_別紙①-2 14年度ビル商品出庫計画" xfId="1084" xr:uid="{00000000-0005-0000-0000-0000AC040000}"/>
    <cellStyle name="▲_ヴィートワン実施事項" xfId="1085" xr:uid="{00000000-0005-0000-0000-0000AD040000}"/>
    <cellStyle name="▲_キャビ実績" xfId="1086" xr:uid="{00000000-0005-0000-0000-0000AE040000}"/>
    <cellStyle name="▲_クローゼット改善事例" xfId="1087" xr:uid="{00000000-0005-0000-0000-0000AF040000}"/>
    <cellStyle name="▲_コピー ～ 経理稟09001（一時帰国）" xfId="3113" xr:uid="{00000000-0005-0000-0000-0000B0040000}"/>
    <cellStyle name="▲_コピー09MC 床材、定尺材、有償部品変更点" xfId="3114" xr:uid="{00000000-0005-0000-0000-0000B1040000}"/>
    <cellStyle name="▲_サーモス全体運用" xfId="1088" xr:uid="{00000000-0005-0000-0000-0000B2040000}"/>
    <cellStyle name="▲_ｼｪｱ_営業所" xfId="83" xr:uid="{00000000-0005-0000-0000-0000B3040000}"/>
    <cellStyle name="▲_ｼｪｱ_営業所 2" xfId="3115" xr:uid="{00000000-0005-0000-0000-0000B4040000}"/>
    <cellStyle name="▲_ｼｪｱ_営業所 2 2" xfId="3116" xr:uid="{00000000-0005-0000-0000-0000B5040000}"/>
    <cellStyle name="▲_ｼｪｱ_営業所 3" xfId="3117" xr:uid="{00000000-0005-0000-0000-0000B6040000}"/>
    <cellStyle name="▲_ｼｪｱ_営業所 3 2" xfId="3118" xr:uid="{00000000-0005-0000-0000-0000B7040000}"/>
    <cellStyle name="▲_ｼｪｱ_営業所 3 2 2" xfId="3119" xr:uid="{00000000-0005-0000-0000-0000B8040000}"/>
    <cellStyle name="▲_ｼｪｱ_営業所 3 3" xfId="3120" xr:uid="{00000000-0005-0000-0000-0000B9040000}"/>
    <cellStyle name="▲_ｼｪｱ_営業所 4" xfId="3121" xr:uid="{00000000-0005-0000-0000-0000BA040000}"/>
    <cellStyle name="▲_ｼｪｱ_営業所_(SR海外)_工程台帳" xfId="1089" xr:uid="{00000000-0005-0000-0000-0000BB040000}"/>
    <cellStyle name="▲_ｼｪｱ_営業所_(SR海外)_工程台帳 2" xfId="5578" xr:uid="{00000000-0005-0000-0000-0000BC040000}"/>
    <cellStyle name="▲_ｼｪｱ_営業所_《PL枠》12年度目指すべき姿" xfId="1090" xr:uid="{00000000-0005-0000-0000-0000BD040000}"/>
    <cellStyle name="▲_ｼｪｱ_営業所_《PL枠》12年度目指すべき姿 2" xfId="5579" xr:uid="{00000000-0005-0000-0000-0000BE040000}"/>
    <cellStyle name="▲_ｼｪｱ_営業所_《ベルスク２》12年度目指すべき姿" xfId="1091" xr:uid="{00000000-0005-0000-0000-0000BF040000}"/>
    <cellStyle name="▲_ｼｪｱ_営業所_《ベルスク２》12年度目指すべき姿 2" xfId="5580" xr:uid="{00000000-0005-0000-0000-0000C0040000}"/>
    <cellStyle name="▲_ｼｪｱ_営業所_【0907ライン別現象別比較】" xfId="1092" xr:uid="{00000000-0005-0000-0000-0000C1040000}"/>
    <cellStyle name="▲_ｼｪｱ_営業所_【業連】生本ビ 12-36 13年度ﾋﾞﾙ短計ｶﾞｲﾄﾞﾗｲﾝ" xfId="1093" xr:uid="{00000000-0005-0000-0000-0000C2040000}"/>
    <cellStyle name="▲_ｼｪｱ_営業所_【業連】生本ビ 12-36 13年度ﾋﾞﾙ短計ｶﾞｲﾄﾞﾗｲﾝ 2" xfId="5581" xr:uid="{00000000-0005-0000-0000-0000C3040000}"/>
    <cellStyle name="▲_ｼｪｱ_営業所_【清水B】11年度フォローシート【品質】" xfId="1094" xr:uid="{00000000-0005-0000-0000-0000C4040000}"/>
    <cellStyle name="▲_ｼｪｱ_営業所_【品質保証レベル（外観含み）】（製造課定義）xls" xfId="1095" xr:uid="{00000000-0005-0000-0000-0000C5040000}"/>
    <cellStyle name="▲_ｼｪｱ_営業所_【品質保証レベル向上（まとめ）】" xfId="1096" xr:uid="{00000000-0005-0000-0000-0000C6040000}"/>
    <cellStyle name="▲_ｼｪｱ_営業所_【有賀】09なし 間違い方策展開系統図 " xfId="1097" xr:uid="{00000000-0005-0000-0000-0000C7040000}"/>
    <cellStyle name="▲_ｼｪｱ_営業所_■【12ライン別】製造原価率推移グラフ" xfId="1098" xr:uid="{00000000-0005-0000-0000-0000C8040000}"/>
    <cellStyle name="▲_ｼｪｱ_営業所_０５年度方針実績" xfId="1099" xr:uid="{00000000-0005-0000-0000-0000C9040000}"/>
    <cellStyle name="▲_ｼｪｱ_営業所_110706【清水Ｂ品質保証レベル向上進捗シート】xls" xfId="1100" xr:uid="{00000000-0005-0000-0000-0000CA040000}"/>
    <cellStyle name="▲_ｼｪｱ_営業所_12年度本部長診断現場報告ドア枠" xfId="1101" xr:uid="{00000000-0005-0000-0000-0000CB040000}"/>
    <cellStyle name="▲_ｼｪｱ_営業所_12年度本部長診断現場報告ドア枠 2" xfId="5582" xr:uid="{00000000-0005-0000-0000-0000CC040000}"/>
    <cellStyle name="▲_ｼｪｱ_営業所_13年度上期生産性計画" xfId="1102" xr:uid="{00000000-0005-0000-0000-0000CD040000}"/>
    <cellStyle name="▲_ｼｪｱ_営業所_13年度反省書(SR係)" xfId="1103" xr:uid="{00000000-0005-0000-0000-0000CE040000}"/>
    <cellStyle name="▲_ｼｪｱ_営業所_35回品質実践研テーマ" xfId="1104" xr:uid="{00000000-0005-0000-0000-0000CF040000}"/>
    <cellStyle name="▲_ｼｪｱ_営業所_ＢＰ説明資料" xfId="1105" xr:uid="{00000000-0005-0000-0000-0000D0040000}"/>
    <cellStyle name="▲_ｼｪｱ_営業所_FA" xfId="1106" xr:uid="{00000000-0005-0000-0000-0000D1040000}"/>
    <cellStyle name="▲_ｼｪｱ_営業所_FA 2" xfId="5583" xr:uid="{00000000-0005-0000-0000-0000D2040000}"/>
    <cellStyle name="▲_ｼｪｱ_営業所_Ｈ改善ＳＨ" xfId="1107" xr:uid="{00000000-0005-0000-0000-0000D3040000}"/>
    <cellStyle name="▲_ｼｪｱ_営業所_Sheet1" xfId="1108" xr:uid="{00000000-0005-0000-0000-0000D4040000}"/>
    <cellStyle name="▲_ｼｪｱ_営業所_TOPS実践スケジュール（土浦_K" xfId="1109" xr:uid="{00000000-0005-0000-0000-0000D5040000}"/>
    <cellStyle name="▲_ｼｪｱ_営業所_アトモス報告書買取残" xfId="1110" xr:uid="{00000000-0005-0000-0000-0000D6040000}"/>
    <cellStyle name="▲_ｼｪｱ_営業所_アトモス報告書買取残_14年度下期見直し短計原価ｶﾞｲﾄﾞ" xfId="1111" xr:uid="{00000000-0005-0000-0000-0000D7040000}"/>
    <cellStyle name="▲_ｼｪｱ_営業所_アトモス報告書買取残_別紙①-2 14年度ビル商品出庫計画" xfId="1112" xr:uid="{00000000-0005-0000-0000-0000D8040000}"/>
    <cellStyle name="▲_ｼｪｱ_営業所_ページ1" xfId="1113" xr:uid="{00000000-0005-0000-0000-0000D9040000}"/>
    <cellStyle name="▲_ｼｪｱ_営業所_ページ1 2" xfId="5584" xr:uid="{00000000-0005-0000-0000-0000DA040000}"/>
    <cellStyle name="▲_ｼｪｱ_営業所_リシェントＴＯＰＳ" xfId="1114" xr:uid="{00000000-0005-0000-0000-0000DB040000}"/>
    <cellStyle name="▲_ｼｪｱ_営業所_リシェントＴＯＰＳ 2" xfId="5585" xr:uid="{00000000-0005-0000-0000-0000DC040000}"/>
    <cellStyle name="▲_ｼｪｱ_営業所_活動内容(13年振返り14年進め方）" xfId="1115" xr:uid="{00000000-0005-0000-0000-0000DD040000}"/>
    <cellStyle name="▲_ｼｪｱ_営業所_活動内容(13年振返り14年進め方） 2" xfId="5586" xr:uid="{00000000-0005-0000-0000-0000DE040000}"/>
    <cellStyle name="▲_ｼｪｱ_営業所_管轄ﾗｲﾝ構成1" xfId="1116" xr:uid="{00000000-0005-0000-0000-0000DF040000}"/>
    <cellStyle name="▲_ｼｪｱ_営業所_工場長診断ドア" xfId="1117" xr:uid="{00000000-0005-0000-0000-0000E0040000}"/>
    <cellStyle name="▲_ｼｪｱ_営業所_神奈川工務体制" xfId="1118" xr:uid="{00000000-0005-0000-0000-0000E1040000}"/>
    <cellStyle name="▲_ｼｪｱ_営業所_設技12-004" xfId="1119" xr:uid="{00000000-0005-0000-0000-0000E2040000}"/>
    <cellStyle name="▲_ｼｪｱ_営業所_専務診断報告資料(05.03.30)xls" xfId="1120" xr:uid="{00000000-0005-0000-0000-0000E3040000}"/>
    <cellStyle name="▲_ｼｪｱ_営業所_専務診断報告資料（０６年３月度）" xfId="1121" xr:uid="{00000000-0005-0000-0000-0000E4040000}"/>
    <cellStyle name="▲_ｼｪｱ_営業所_第33回品質実践研テーマ" xfId="1122" xr:uid="{00000000-0005-0000-0000-0000E5040000}"/>
    <cellStyle name="▲_ｼｪｱ_営業所_第34回品質実践研テーマ" xfId="1123" xr:uid="{00000000-0005-0000-0000-0000E6040000}"/>
    <cellStyle name="▲_ｼｪｱ_営業所_第36回品質実践研テーマ" xfId="1124" xr:uid="{00000000-0005-0000-0000-0000E7040000}"/>
    <cellStyle name="▲_ｼｪｱ_営業所_第37回品質実践件テーマ（玄収扉）" xfId="1125" xr:uid="{00000000-0005-0000-0000-0000E8040000}"/>
    <cellStyle name="▲_ｼｪｱ_営業所_第37回品質実践研テーマ" xfId="1126" xr:uid="{00000000-0005-0000-0000-0000E9040000}"/>
    <cellStyle name="▲_ｼｪｱ_営業所_第38回品質実践研テーマ" xfId="1127" xr:uid="{00000000-0005-0000-0000-0000EA040000}"/>
    <cellStyle name="▲_ｼｪｱ_営業所_第39回品質実践研テーマ（クロ本体）" xfId="1128" xr:uid="{00000000-0005-0000-0000-0000EB040000}"/>
    <cellStyle name="▲_ｼｪｱ_営業所_第40回品質実践研テーマ" xfId="1129" xr:uid="{00000000-0005-0000-0000-0000EC040000}"/>
    <cellStyle name="▲_ｼｪｱ_営業所_第４１回品質実践研（養生）" xfId="1130" xr:uid="{00000000-0005-0000-0000-0000ED040000}"/>
    <cellStyle name="▲_ｼｪｱ_営業所_第41回品質実践研テーマ（玄収扉）" xfId="1131" xr:uid="{00000000-0005-0000-0000-0000EE040000}"/>
    <cellStyle name="▲_ｼｪｱ_営業所_品質レベル（ドア枠Ｂ）" xfId="1132" xr:uid="{00000000-0005-0000-0000-0000EF040000}"/>
    <cellStyle name="▲_ｼｪｱ_営業所_本部長診断会ドア" xfId="1133" xr:uid="{00000000-0005-0000-0000-0000F0040000}"/>
    <cellStyle name="▲_スキルマップ(BTEMSS)" xfId="3122" xr:uid="{00000000-0005-0000-0000-0000F1040000}"/>
    <cellStyle name="▲_スキルマップ(BTEMSS) 2" xfId="3123" xr:uid="{00000000-0005-0000-0000-0000F2040000}"/>
    <cellStyle name="▲_スキルマップ(BTEMSS) 2 2" xfId="3124" xr:uid="{00000000-0005-0000-0000-0000F3040000}"/>
    <cellStyle name="▲_スキルマップ(BTEMSS) 3" xfId="3125" xr:uid="{00000000-0005-0000-0000-0000F4040000}"/>
    <cellStyle name="▲_スキルマップ(BTEMSS) 3 2" xfId="3126" xr:uid="{00000000-0005-0000-0000-0000F5040000}"/>
    <cellStyle name="▲_スキルマップ(BTEMSS) 3 2 2" xfId="3127" xr:uid="{00000000-0005-0000-0000-0000F6040000}"/>
    <cellStyle name="▲_スキルマップ(BTEMSS) 3 3" xfId="3128" xr:uid="{00000000-0005-0000-0000-0000F7040000}"/>
    <cellStyle name="▲_スキルマップ(BTEMSS) 4" xfId="3129" xr:uid="{00000000-0005-0000-0000-0000F8040000}"/>
    <cellStyle name="▲_スキル業連（自主研）" xfId="1134" xr:uid="{00000000-0005-0000-0000-0000F9040000}"/>
    <cellStyle name="▲_スキル業連（自主研） 2" xfId="3130" xr:uid="{00000000-0005-0000-0000-0000FA040000}"/>
    <cellStyle name="▲_スキル自主研スケジュール（０９年）" xfId="1135" xr:uid="{00000000-0005-0000-0000-0000FB040000}"/>
    <cellStyle name="▲_スキル自主研スケジュール（０９年） 2" xfId="3131" xr:uid="{00000000-0005-0000-0000-0000FC040000}"/>
    <cellStyle name="▲_スケジュール" xfId="3132" xr:uid="{00000000-0005-0000-0000-0000FE040000}"/>
    <cellStyle name="▲_ｽｹｼﾞｭｰﾙ" xfId="1136" xr:uid="{00000000-0005-0000-0000-0000FD040000}"/>
    <cellStyle name="▲_スケジュール 2" xfId="3133" xr:uid="{00000000-0005-0000-0000-0000FF040000}"/>
    <cellStyle name="▲_スケジュール 2 2" xfId="3134" xr:uid="{00000000-0005-0000-0000-000000050000}"/>
    <cellStyle name="▲_スケジュール 2 2 2" xfId="3135" xr:uid="{00000000-0005-0000-0000-000001050000}"/>
    <cellStyle name="▲_スケジュール 2 2 2 2" xfId="3136" xr:uid="{00000000-0005-0000-0000-000002050000}"/>
    <cellStyle name="▲_スケジュール 2 2 3" xfId="3137" xr:uid="{00000000-0005-0000-0000-000003050000}"/>
    <cellStyle name="▲_スケジュール 2 2 3 2" xfId="3138" xr:uid="{00000000-0005-0000-0000-000004050000}"/>
    <cellStyle name="▲_スケジュール 2 2 3 2 2" xfId="3139" xr:uid="{00000000-0005-0000-0000-000005050000}"/>
    <cellStyle name="▲_スケジュール 2 2 3 3" xfId="3140" xr:uid="{00000000-0005-0000-0000-000006050000}"/>
    <cellStyle name="▲_スケジュール 2 2 4" xfId="3141" xr:uid="{00000000-0005-0000-0000-000007050000}"/>
    <cellStyle name="▲_スケジュール 2 3" xfId="3142" xr:uid="{00000000-0005-0000-0000-000008050000}"/>
    <cellStyle name="▲_スケジュール 3" xfId="3143" xr:uid="{00000000-0005-0000-0000-000009050000}"/>
    <cellStyle name="▲_スマート10生産準備完了報告書" xfId="1137" xr:uid="{00000000-0005-0000-0000-00000A050000}"/>
    <cellStyle name="▲_スリム窓枠供給工場決定依頼書" xfId="1138" xr:uid="{00000000-0005-0000-0000-00000B050000}"/>
    <cellStyle name="▲_テーマアップ参考資料Ａ" xfId="1139" xr:uid="{00000000-0005-0000-0000-00000C050000}"/>
    <cellStyle name="▲_ﾈｯﾄ販売（ｲﾝﾌﾟﾗｽｼｬｯﾀｰ彩鳥）研修ｶﾘｷｭﾗﾑ" xfId="1140" xr:uid="{00000000-0005-0000-0000-00000D050000}"/>
    <cellStyle name="▲_ﾈｯﾄ販売（ｲﾝﾌﾟﾗｽｼｬｯﾀｰ彩鳥）研修ｶﾘｷｭﾗﾑ 2" xfId="3144" xr:uid="{00000000-0005-0000-0000-00000E050000}"/>
    <cellStyle name="▲_ﾈｯﾄ販売研修日程excel1" xfId="1141" xr:uid="{00000000-0005-0000-0000-00000F050000}"/>
    <cellStyle name="▲_ﾈｯﾄ販売研修日程excel1 2" xfId="3145" xr:uid="{00000000-0005-0000-0000-000010050000}"/>
    <cellStyle name="▲_ビジュアル看板" xfId="1142" xr:uid="{00000000-0005-0000-0000-000011050000}"/>
    <cellStyle name="▲_ビジュアル看板 2" xfId="5587" xr:uid="{00000000-0005-0000-0000-000012050000}"/>
    <cellStyle name="▲_ﾋﾞﾙﾀﾞｰ戦略" xfId="84" xr:uid="{00000000-0005-0000-0000-000013050000}"/>
    <cellStyle name="▲_ﾋﾞﾙﾀﾞｰ戦略 2" xfId="3146" xr:uid="{00000000-0005-0000-0000-000014050000}"/>
    <cellStyle name="▲_ﾋﾞﾙﾀﾞｰ戦略 2 2" xfId="3147" xr:uid="{00000000-0005-0000-0000-000015050000}"/>
    <cellStyle name="▲_ﾋﾞﾙﾀﾞｰ戦略 3" xfId="3148" xr:uid="{00000000-0005-0000-0000-000016050000}"/>
    <cellStyle name="▲_ﾋﾞﾙﾀﾞｰ戦略 3 2" xfId="3149" xr:uid="{00000000-0005-0000-0000-000017050000}"/>
    <cellStyle name="▲_ﾋﾞﾙﾀﾞｰ戦略 3 2 2" xfId="3150" xr:uid="{00000000-0005-0000-0000-000018050000}"/>
    <cellStyle name="▲_ﾋﾞﾙﾀﾞｰ戦略 3 3" xfId="3151" xr:uid="{00000000-0005-0000-0000-000019050000}"/>
    <cellStyle name="▲_ﾋﾞﾙﾀﾞｰ戦略 4" xfId="3152" xr:uid="{00000000-0005-0000-0000-00001A050000}"/>
    <cellStyle name="▲_ﾋﾞﾙﾀﾞｰ戦略_(SR海外)_工程台帳" xfId="1143" xr:uid="{00000000-0005-0000-0000-00001B050000}"/>
    <cellStyle name="▲_ﾋﾞﾙﾀﾞｰ戦略_(SR海外)_工程台帳 2" xfId="5588" xr:uid="{00000000-0005-0000-0000-00001C050000}"/>
    <cellStyle name="▲_ﾋﾞﾙﾀﾞｰ戦略_《PL枠》12年度目指すべき姿" xfId="1144" xr:uid="{00000000-0005-0000-0000-00001D050000}"/>
    <cellStyle name="▲_ﾋﾞﾙﾀﾞｰ戦略_《PL枠》12年度目指すべき姿 2" xfId="5589" xr:uid="{00000000-0005-0000-0000-00001E050000}"/>
    <cellStyle name="▲_ﾋﾞﾙﾀﾞｰ戦略_《ベルスク２》12年度目指すべき姿" xfId="1145" xr:uid="{00000000-0005-0000-0000-00001F050000}"/>
    <cellStyle name="▲_ﾋﾞﾙﾀﾞｰ戦略_《ベルスク２》12年度目指すべき姿 2" xfId="5590" xr:uid="{00000000-0005-0000-0000-000020050000}"/>
    <cellStyle name="▲_ﾋﾞﾙﾀﾞｰ戦略_【0907ライン別現象別比較】" xfId="1146" xr:uid="{00000000-0005-0000-0000-000021050000}"/>
    <cellStyle name="▲_ﾋﾞﾙﾀﾞｰ戦略_【業連】生本ビ 12-36 13年度ﾋﾞﾙ短計ｶﾞｲﾄﾞﾗｲﾝ" xfId="1147" xr:uid="{00000000-0005-0000-0000-000022050000}"/>
    <cellStyle name="▲_ﾋﾞﾙﾀﾞｰ戦略_【業連】生本ビ 12-36 13年度ﾋﾞﾙ短計ｶﾞｲﾄﾞﾗｲﾝ 2" xfId="5591" xr:uid="{00000000-0005-0000-0000-000023050000}"/>
    <cellStyle name="▲_ﾋﾞﾙﾀﾞｰ戦略_【清水B】11年度フォローシート【品質】" xfId="1148" xr:uid="{00000000-0005-0000-0000-000024050000}"/>
    <cellStyle name="▲_ﾋﾞﾙﾀﾞｰ戦略_【品質保証レベル（外観含み）】（製造課定義）xls" xfId="1149" xr:uid="{00000000-0005-0000-0000-000025050000}"/>
    <cellStyle name="▲_ﾋﾞﾙﾀﾞｰ戦略_【品質保証レベル向上（まとめ）】" xfId="1150" xr:uid="{00000000-0005-0000-0000-000026050000}"/>
    <cellStyle name="▲_ﾋﾞﾙﾀﾞｰ戦略_【有賀】09なし 間違い方策展開系統図 " xfId="1151" xr:uid="{00000000-0005-0000-0000-000027050000}"/>
    <cellStyle name="▲_ﾋﾞﾙﾀﾞｰ戦略_■【12ライン別】製造原価率推移グラフ" xfId="1152" xr:uid="{00000000-0005-0000-0000-000028050000}"/>
    <cellStyle name="▲_ﾋﾞﾙﾀﾞｰ戦略_０５年度方針実績" xfId="1153" xr:uid="{00000000-0005-0000-0000-000029050000}"/>
    <cellStyle name="▲_ﾋﾞﾙﾀﾞｰ戦略_110706【清水Ｂ品質保証レベル向上進捗シート】xls" xfId="1154" xr:uid="{00000000-0005-0000-0000-00002A050000}"/>
    <cellStyle name="▲_ﾋﾞﾙﾀﾞｰ戦略_12年度本部長診断現場報告ドア枠" xfId="1155" xr:uid="{00000000-0005-0000-0000-00002B050000}"/>
    <cellStyle name="▲_ﾋﾞﾙﾀﾞｰ戦略_12年度本部長診断現場報告ドア枠 2" xfId="5592" xr:uid="{00000000-0005-0000-0000-00002C050000}"/>
    <cellStyle name="▲_ﾋﾞﾙﾀﾞｰ戦略_13年度上期生産性計画" xfId="1156" xr:uid="{00000000-0005-0000-0000-00002D050000}"/>
    <cellStyle name="▲_ﾋﾞﾙﾀﾞｰ戦略_13年度反省書(SR係)" xfId="1157" xr:uid="{00000000-0005-0000-0000-00002E050000}"/>
    <cellStyle name="▲_ﾋﾞﾙﾀﾞｰ戦略_35回品質実践研テーマ" xfId="1158" xr:uid="{00000000-0005-0000-0000-00002F050000}"/>
    <cellStyle name="▲_ﾋﾞﾙﾀﾞｰ戦略_ＢＰ説明資料" xfId="1159" xr:uid="{00000000-0005-0000-0000-000030050000}"/>
    <cellStyle name="▲_ﾋﾞﾙﾀﾞｰ戦略_FA" xfId="1160" xr:uid="{00000000-0005-0000-0000-000031050000}"/>
    <cellStyle name="▲_ﾋﾞﾙﾀﾞｰ戦略_FA 2" xfId="5593" xr:uid="{00000000-0005-0000-0000-000032050000}"/>
    <cellStyle name="▲_ﾋﾞﾙﾀﾞｰ戦略_Ｈ改善ＳＨ" xfId="1161" xr:uid="{00000000-0005-0000-0000-000033050000}"/>
    <cellStyle name="▲_ﾋﾞﾙﾀﾞｰ戦略_Sheet1" xfId="1162" xr:uid="{00000000-0005-0000-0000-000034050000}"/>
    <cellStyle name="▲_ﾋﾞﾙﾀﾞｰ戦略_TOPS実践スケジュール（土浦_K" xfId="1163" xr:uid="{00000000-0005-0000-0000-000035050000}"/>
    <cellStyle name="▲_ﾋﾞﾙﾀﾞｰ戦略_アトモス報告書買取残" xfId="1164" xr:uid="{00000000-0005-0000-0000-000036050000}"/>
    <cellStyle name="▲_ﾋﾞﾙﾀﾞｰ戦略_アトモス報告書買取残_14年度下期見直し短計原価ｶﾞｲﾄﾞ" xfId="1165" xr:uid="{00000000-0005-0000-0000-000037050000}"/>
    <cellStyle name="▲_ﾋﾞﾙﾀﾞｰ戦略_アトモス報告書買取残_別紙①-2 14年度ビル商品出庫計画" xfId="1166" xr:uid="{00000000-0005-0000-0000-000038050000}"/>
    <cellStyle name="▲_ﾋﾞﾙﾀﾞｰ戦略_ページ1" xfId="1167" xr:uid="{00000000-0005-0000-0000-000039050000}"/>
    <cellStyle name="▲_ﾋﾞﾙﾀﾞｰ戦略_ページ1 2" xfId="5594" xr:uid="{00000000-0005-0000-0000-00003A050000}"/>
    <cellStyle name="▲_ﾋﾞﾙﾀﾞｰ戦略_リシェントＴＯＰＳ" xfId="1168" xr:uid="{00000000-0005-0000-0000-00003B050000}"/>
    <cellStyle name="▲_ﾋﾞﾙﾀﾞｰ戦略_リシェントＴＯＰＳ 2" xfId="5595" xr:uid="{00000000-0005-0000-0000-00003C050000}"/>
    <cellStyle name="▲_ﾋﾞﾙﾀﾞｰ戦略_活動内容(13年振返り14年進め方）" xfId="1169" xr:uid="{00000000-0005-0000-0000-00003D050000}"/>
    <cellStyle name="▲_ﾋﾞﾙﾀﾞｰ戦略_活動内容(13年振返り14年進め方） 2" xfId="5596" xr:uid="{00000000-0005-0000-0000-00003E050000}"/>
    <cellStyle name="▲_ﾋﾞﾙﾀﾞｰ戦略_管轄ﾗｲﾝ構成1" xfId="1170" xr:uid="{00000000-0005-0000-0000-00003F050000}"/>
    <cellStyle name="▲_ﾋﾞﾙﾀﾞｰ戦略_工場長診断ドア" xfId="1171" xr:uid="{00000000-0005-0000-0000-000040050000}"/>
    <cellStyle name="▲_ﾋﾞﾙﾀﾞｰ戦略_神奈川工務体制" xfId="1172" xr:uid="{00000000-0005-0000-0000-000041050000}"/>
    <cellStyle name="▲_ﾋﾞﾙﾀﾞｰ戦略_設技12-004" xfId="1173" xr:uid="{00000000-0005-0000-0000-000042050000}"/>
    <cellStyle name="▲_ﾋﾞﾙﾀﾞｰ戦略_専務診断報告資料(05.03.30)xls" xfId="1174" xr:uid="{00000000-0005-0000-0000-000043050000}"/>
    <cellStyle name="▲_ﾋﾞﾙﾀﾞｰ戦略_専務診断報告資料（０６年３月度）" xfId="1175" xr:uid="{00000000-0005-0000-0000-000044050000}"/>
    <cellStyle name="▲_ﾋﾞﾙﾀﾞｰ戦略_第33回品質実践研テーマ" xfId="1176" xr:uid="{00000000-0005-0000-0000-000045050000}"/>
    <cellStyle name="▲_ﾋﾞﾙﾀﾞｰ戦略_第34回品質実践研テーマ" xfId="1177" xr:uid="{00000000-0005-0000-0000-000046050000}"/>
    <cellStyle name="▲_ﾋﾞﾙﾀﾞｰ戦略_第36回品質実践研テーマ" xfId="1178" xr:uid="{00000000-0005-0000-0000-000047050000}"/>
    <cellStyle name="▲_ﾋﾞﾙﾀﾞｰ戦略_第37回品質実践件テーマ（玄収扉）" xfId="1179" xr:uid="{00000000-0005-0000-0000-000048050000}"/>
    <cellStyle name="▲_ﾋﾞﾙﾀﾞｰ戦略_第37回品質実践研テーマ" xfId="1180" xr:uid="{00000000-0005-0000-0000-000049050000}"/>
    <cellStyle name="▲_ﾋﾞﾙﾀﾞｰ戦略_第38回品質実践研テーマ" xfId="1181" xr:uid="{00000000-0005-0000-0000-00004A050000}"/>
    <cellStyle name="▲_ﾋﾞﾙﾀﾞｰ戦略_第39回品質実践研テーマ（クロ本体）" xfId="1182" xr:uid="{00000000-0005-0000-0000-00004B050000}"/>
    <cellStyle name="▲_ﾋﾞﾙﾀﾞｰ戦略_第40回品質実践研テーマ" xfId="1183" xr:uid="{00000000-0005-0000-0000-00004C050000}"/>
    <cellStyle name="▲_ﾋﾞﾙﾀﾞｰ戦略_第４１回品質実践研（養生）" xfId="1184" xr:uid="{00000000-0005-0000-0000-00004D050000}"/>
    <cellStyle name="▲_ﾋﾞﾙﾀﾞｰ戦略_第41回品質実践研テーマ（玄収扉）" xfId="1185" xr:uid="{00000000-0005-0000-0000-00004E050000}"/>
    <cellStyle name="▲_ﾋﾞﾙﾀﾞｰ戦略_品質レベル（ドア枠Ｂ）" xfId="1186" xr:uid="{00000000-0005-0000-0000-00004F050000}"/>
    <cellStyle name="▲_ﾋﾞﾙﾀﾞｰ戦略_本部長診断会ドア" xfId="1187" xr:uid="{00000000-0005-0000-0000-000050050000}"/>
    <cellStyle name="▲_フォローシート" xfId="1188" xr:uid="{00000000-0005-0000-0000-000051050000}"/>
    <cellStyle name="▲_プロセス振返り" xfId="1189" xr:uid="{00000000-0005-0000-0000-000052050000}"/>
    <cellStyle name="▲_ページ1" xfId="1190" xr:uid="{00000000-0005-0000-0000-000053050000}"/>
    <cellStyle name="▲_ページ1 2" xfId="5597" xr:uid="{00000000-0005-0000-0000-000054050000}"/>
    <cellStyle name="▲_ベース活動_資材業務見直し" xfId="1191" xr:uid="{00000000-0005-0000-0000-000055050000}"/>
    <cellStyle name="▲_ﾍｰﾍﾞﾙ次世代開口部品ﾘｽﾄ" xfId="1192" xr:uid="{00000000-0005-0000-0000-000056050000}"/>
    <cellStyle name="▲_まとめ" xfId="1193" xr:uid="{00000000-0005-0000-0000-000057050000}"/>
    <cellStyle name="▲_ミサワ向ガゼリア概算投資明細" xfId="1194" xr:uid="{00000000-0005-0000-0000-000058050000}"/>
    <cellStyle name="▲_ライン改善実践治具【２０１１0524改訂版】" xfId="1195" xr:uid="{00000000-0005-0000-0000-000059050000}"/>
    <cellStyle name="▲_ライン改善実践治具【２０１１0524改訂版】 2" xfId="5598" xr:uid="{00000000-0005-0000-0000-00005A050000}"/>
    <cellStyle name="▲_リシェントＴＯＰＳ" xfId="1196" xr:uid="{00000000-0005-0000-0000-00005B050000}"/>
    <cellStyle name="▲_リシェントＴＯＰＳ 2" xfId="5599" xr:uid="{00000000-0005-0000-0000-00005C050000}"/>
    <cellStyle name="▲_リビング’03・10－3方針" xfId="1197" xr:uid="{00000000-0005-0000-0000-00005D050000}"/>
    <cellStyle name="▲_リビング’03・10－3方針 2" xfId="3153" xr:uid="{00000000-0005-0000-0000-00005E050000}"/>
    <cellStyle name="▲_リビ建部会（大連）" xfId="1198" xr:uid="{00000000-0005-0000-0000-00005F050000}"/>
    <cellStyle name="▲_リビ建部会（大連） 2" xfId="2802" xr:uid="{00000000-0005-0000-0000-000060050000}"/>
    <cellStyle name="▲_リビ建部会（大連） 2 2" xfId="3154" xr:uid="{00000000-0005-0000-0000-000061050000}"/>
    <cellStyle name="▲_リビ建部会（大連） 2 2 2" xfId="3155" xr:uid="{00000000-0005-0000-0000-000062050000}"/>
    <cellStyle name="▲_リビ建部会（大連） 2 2 2 2" xfId="3156" xr:uid="{00000000-0005-0000-0000-000063050000}"/>
    <cellStyle name="▲_リビ建部会（大連） 2 2 3" xfId="3157" xr:uid="{00000000-0005-0000-0000-000064050000}"/>
    <cellStyle name="▲_リビ建部会（大連） 2 2 3 2" xfId="3158" xr:uid="{00000000-0005-0000-0000-000065050000}"/>
    <cellStyle name="▲_リビ建部会（大連） 2 2 3 2 2" xfId="3159" xr:uid="{00000000-0005-0000-0000-000066050000}"/>
    <cellStyle name="▲_リビ建部会（大連） 2 2 3 3" xfId="3160" xr:uid="{00000000-0005-0000-0000-000067050000}"/>
    <cellStyle name="▲_リビ建部会（大連） 2 2 4" xfId="3161" xr:uid="{00000000-0005-0000-0000-000068050000}"/>
    <cellStyle name="▲_リビ建部会（大連） 2 3" xfId="3162" xr:uid="{00000000-0005-0000-0000-000069050000}"/>
    <cellStyle name="▲_リビ建部会（大連） 3" xfId="3163" xr:uid="{00000000-0005-0000-0000-00006A050000}"/>
    <cellStyle name="▲_リビ建部会（大連） 4" xfId="5285" xr:uid="{00000000-0005-0000-0000-00006B050000}"/>
    <cellStyle name="▲_リビ建部会（大連） 4 2" xfId="6368" xr:uid="{00000000-0005-0000-0000-00006C050000}"/>
    <cellStyle name="▲_リビ建部会（大連） 5" xfId="5286" xr:uid="{00000000-0005-0000-0000-00006D050000}"/>
    <cellStyle name="▲_リビ建部会（大連） 5 2" xfId="6369" xr:uid="{00000000-0005-0000-0000-00006E050000}"/>
    <cellStyle name="▲_リビ建部会（大連） 6" xfId="5287" xr:uid="{00000000-0005-0000-0000-00006F050000}"/>
    <cellStyle name="▲_リビ建部会（大連） 6 2" xfId="6370" xr:uid="{00000000-0005-0000-0000-000070050000}"/>
    <cellStyle name="▲_リビ建部会（大連） 7" xfId="5288" xr:uid="{00000000-0005-0000-0000-000071050000}"/>
    <cellStyle name="▲_リビ建部会（大連） 7 2" xfId="6371" xr:uid="{00000000-0005-0000-0000-000072050000}"/>
    <cellStyle name="▲_リビ建部会（大連）改訂①" xfId="1199" xr:uid="{00000000-0005-0000-0000-000073050000}"/>
    <cellStyle name="▲_リビ建部会（大連）改訂① 2" xfId="2803" xr:uid="{00000000-0005-0000-0000-000074050000}"/>
    <cellStyle name="▲_リビ建部会（大連）改訂① 2 2" xfId="3164" xr:uid="{00000000-0005-0000-0000-000075050000}"/>
    <cellStyle name="▲_リビ建部会（大連）改訂① 2 2 2" xfId="3165" xr:uid="{00000000-0005-0000-0000-000076050000}"/>
    <cellStyle name="▲_リビ建部会（大連）改訂① 2 2 2 2" xfId="3166" xr:uid="{00000000-0005-0000-0000-000077050000}"/>
    <cellStyle name="▲_リビ建部会（大連）改訂① 2 2 3" xfId="3167" xr:uid="{00000000-0005-0000-0000-000078050000}"/>
    <cellStyle name="▲_リビ建部会（大連）改訂① 2 2 3 2" xfId="3168" xr:uid="{00000000-0005-0000-0000-000079050000}"/>
    <cellStyle name="▲_リビ建部会（大連）改訂① 2 2 3 2 2" xfId="3169" xr:uid="{00000000-0005-0000-0000-00007A050000}"/>
    <cellStyle name="▲_リビ建部会（大連）改訂① 2 2 3 3" xfId="3170" xr:uid="{00000000-0005-0000-0000-00007B050000}"/>
    <cellStyle name="▲_リビ建部会（大連）改訂① 2 2 4" xfId="3171" xr:uid="{00000000-0005-0000-0000-00007C050000}"/>
    <cellStyle name="▲_リビ建部会（大連）改訂① 2 3" xfId="3172" xr:uid="{00000000-0005-0000-0000-00007D050000}"/>
    <cellStyle name="▲_リビ建部会（大連）改訂① 3" xfId="3173" xr:uid="{00000000-0005-0000-0000-00007E050000}"/>
    <cellStyle name="▲_リビ建部会（大連）改訂① 4" xfId="5289" xr:uid="{00000000-0005-0000-0000-00007F050000}"/>
    <cellStyle name="▲_リビ建部会（大連）改訂① 4 2" xfId="6372" xr:uid="{00000000-0005-0000-0000-000080050000}"/>
    <cellStyle name="▲_リビ建部会（大連）改訂① 5" xfId="5290" xr:uid="{00000000-0005-0000-0000-000081050000}"/>
    <cellStyle name="▲_リビ建部会（大連）改訂① 5 2" xfId="6373" xr:uid="{00000000-0005-0000-0000-000082050000}"/>
    <cellStyle name="▲_リビ建部会（大連）改訂① 6" xfId="5291" xr:uid="{00000000-0005-0000-0000-000083050000}"/>
    <cellStyle name="▲_リビ建部会（大連）改訂① 6 2" xfId="6374" xr:uid="{00000000-0005-0000-0000-000084050000}"/>
    <cellStyle name="▲_リビ建部会（大連）改訂① 7" xfId="5292" xr:uid="{00000000-0005-0000-0000-000085050000}"/>
    <cellStyle name="▲_リビ建部会（大連）改訂① 7 2" xfId="6375" xr:uid="{00000000-0005-0000-0000-000086050000}"/>
    <cellStyle name="▲_リビ建方針書 0304" xfId="85" xr:uid="{00000000-0005-0000-0000-000087050000}"/>
    <cellStyle name="▲_リビ建方針書 0304 2" xfId="3174" xr:uid="{00000000-0005-0000-0000-000088050000}"/>
    <cellStyle name="▲_リビ建方針書 0304 2 2" xfId="3175" xr:uid="{00000000-0005-0000-0000-000089050000}"/>
    <cellStyle name="▲_リビ建方針書 0304 3" xfId="3176" xr:uid="{00000000-0005-0000-0000-00008A050000}"/>
    <cellStyle name="▲_リビ建方針書 0304 3 2" xfId="3177" xr:uid="{00000000-0005-0000-0000-00008B050000}"/>
    <cellStyle name="▲_リビ建方針書 0304 3 2 2" xfId="3178" xr:uid="{00000000-0005-0000-0000-00008C050000}"/>
    <cellStyle name="▲_リビ建方針書 0304 3 3" xfId="3179" xr:uid="{00000000-0005-0000-0000-00008D050000}"/>
    <cellStyle name="▲_リビ建方針書 0304 4" xfId="3180" xr:uid="{00000000-0005-0000-0000-00008E050000}"/>
    <cellStyle name="▲_リビ建方針書 0304_(SR海外)_工程台帳" xfId="1200" xr:uid="{00000000-0005-0000-0000-00008F050000}"/>
    <cellStyle name="▲_リビ建方針書 0304_(SR海外)_工程台帳 2" xfId="5600" xr:uid="{00000000-0005-0000-0000-000090050000}"/>
    <cellStyle name="▲_リビ建方針書 0304_《PL枠》12年度目指すべき姿" xfId="1201" xr:uid="{00000000-0005-0000-0000-000091050000}"/>
    <cellStyle name="▲_リビ建方針書 0304_《PL枠》12年度目指すべき姿 2" xfId="5601" xr:uid="{00000000-0005-0000-0000-000092050000}"/>
    <cellStyle name="▲_リビ建方針書 0304_《ベルスク２》12年度目指すべき姿" xfId="1202" xr:uid="{00000000-0005-0000-0000-000093050000}"/>
    <cellStyle name="▲_リビ建方針書 0304_《ベルスク２》12年度目指すべき姿 2" xfId="5602" xr:uid="{00000000-0005-0000-0000-000094050000}"/>
    <cellStyle name="▲_リビ建方針書 0304_【0907ライン別現象別比較】" xfId="1203" xr:uid="{00000000-0005-0000-0000-000095050000}"/>
    <cellStyle name="▲_リビ建方針書 0304_【業連】生本ビ 12-36 13年度ﾋﾞﾙ短計ｶﾞｲﾄﾞﾗｲﾝ" xfId="1204" xr:uid="{00000000-0005-0000-0000-000096050000}"/>
    <cellStyle name="▲_リビ建方針書 0304_【業連】生本ビ 12-36 13年度ﾋﾞﾙ短計ｶﾞｲﾄﾞﾗｲﾝ 2" xfId="5603" xr:uid="{00000000-0005-0000-0000-000097050000}"/>
    <cellStyle name="▲_リビ建方針書 0304_【清水B】11年度フォローシート【品質】" xfId="1205" xr:uid="{00000000-0005-0000-0000-000098050000}"/>
    <cellStyle name="▲_リビ建方針書 0304_【品質保証レベル（外観含み）】（製造課定義）xls" xfId="1206" xr:uid="{00000000-0005-0000-0000-000099050000}"/>
    <cellStyle name="▲_リビ建方針書 0304_【品質保証レベル向上（まとめ）】" xfId="1207" xr:uid="{00000000-0005-0000-0000-00009A050000}"/>
    <cellStyle name="▲_リビ建方針書 0304_【有賀】09なし 間違い方策展開系統図 " xfId="1208" xr:uid="{00000000-0005-0000-0000-00009B050000}"/>
    <cellStyle name="▲_リビ建方針書 0304_■【12ライン別】製造原価率推移グラフ" xfId="1209" xr:uid="{00000000-0005-0000-0000-00009C050000}"/>
    <cellStyle name="▲_リビ建方針書 0304_０５年度方針実績" xfId="1210" xr:uid="{00000000-0005-0000-0000-00009D050000}"/>
    <cellStyle name="▲_リビ建方針書 0304_110706【清水Ｂ品質保証レベル向上進捗シート】xls" xfId="1211" xr:uid="{00000000-0005-0000-0000-00009E050000}"/>
    <cellStyle name="▲_リビ建方針書 0304_12年度本部長診断現場報告ドア枠" xfId="1212" xr:uid="{00000000-0005-0000-0000-00009F050000}"/>
    <cellStyle name="▲_リビ建方針書 0304_12年度本部長診断現場報告ドア枠 2" xfId="5604" xr:uid="{00000000-0005-0000-0000-0000A0050000}"/>
    <cellStyle name="▲_リビ建方針書 0304_13年度上期生産性計画" xfId="1213" xr:uid="{00000000-0005-0000-0000-0000A1050000}"/>
    <cellStyle name="▲_リビ建方針書 0304_13年度反省書(SR係)" xfId="1214" xr:uid="{00000000-0005-0000-0000-0000A2050000}"/>
    <cellStyle name="▲_リビ建方針書 0304_35回品質実践研テーマ" xfId="1215" xr:uid="{00000000-0005-0000-0000-0000A3050000}"/>
    <cellStyle name="▲_リビ建方針書 0304_ＢＰ説明資料" xfId="1216" xr:uid="{00000000-0005-0000-0000-0000A4050000}"/>
    <cellStyle name="▲_リビ建方針書 0304_FA" xfId="1217" xr:uid="{00000000-0005-0000-0000-0000A5050000}"/>
    <cellStyle name="▲_リビ建方針書 0304_FA 2" xfId="5605" xr:uid="{00000000-0005-0000-0000-0000A6050000}"/>
    <cellStyle name="▲_リビ建方針書 0304_Ｈ改善ＳＨ" xfId="1218" xr:uid="{00000000-0005-0000-0000-0000A7050000}"/>
    <cellStyle name="▲_リビ建方針書 0304_Sheet1" xfId="1219" xr:uid="{00000000-0005-0000-0000-0000A8050000}"/>
    <cellStyle name="▲_リビ建方針書 0304_TOPS実践スケジュール（土浦_K" xfId="1220" xr:uid="{00000000-0005-0000-0000-0000A9050000}"/>
    <cellStyle name="▲_リビ建方針書 0304_アトモス報告書買取残" xfId="1221" xr:uid="{00000000-0005-0000-0000-0000AA050000}"/>
    <cellStyle name="▲_リビ建方針書 0304_アトモス報告書買取残_14年度下期見直し短計原価ｶﾞｲﾄﾞ" xfId="1222" xr:uid="{00000000-0005-0000-0000-0000AB050000}"/>
    <cellStyle name="▲_リビ建方針書 0304_アトモス報告書買取残_別紙①-2 14年度ビル商品出庫計画" xfId="1223" xr:uid="{00000000-0005-0000-0000-0000AC050000}"/>
    <cellStyle name="▲_リビ建方針書 0304_ページ1" xfId="1224" xr:uid="{00000000-0005-0000-0000-0000AD050000}"/>
    <cellStyle name="▲_リビ建方針書 0304_ページ1 2" xfId="5606" xr:uid="{00000000-0005-0000-0000-0000AE050000}"/>
    <cellStyle name="▲_リビ建方針書 0304_リシェントＴＯＰＳ" xfId="1225" xr:uid="{00000000-0005-0000-0000-0000AF050000}"/>
    <cellStyle name="▲_リビ建方針書 0304_リシェントＴＯＰＳ 2" xfId="5607" xr:uid="{00000000-0005-0000-0000-0000B0050000}"/>
    <cellStyle name="▲_リビ建方針書 0304_活動内容(13年振返り14年進め方）" xfId="1226" xr:uid="{00000000-0005-0000-0000-0000B1050000}"/>
    <cellStyle name="▲_リビ建方針書 0304_活動内容(13年振返り14年進め方） 2" xfId="5608" xr:uid="{00000000-0005-0000-0000-0000B2050000}"/>
    <cellStyle name="▲_リビ建方針書 0304_管轄ﾗｲﾝ構成1" xfId="1227" xr:uid="{00000000-0005-0000-0000-0000B3050000}"/>
    <cellStyle name="▲_リビ建方針書 0304_工場長診断ドア" xfId="1228" xr:uid="{00000000-0005-0000-0000-0000B4050000}"/>
    <cellStyle name="▲_リビ建方針書 0304_神奈川工務体制" xfId="1229" xr:uid="{00000000-0005-0000-0000-0000B5050000}"/>
    <cellStyle name="▲_リビ建方針書 0304_設技12-004" xfId="1230" xr:uid="{00000000-0005-0000-0000-0000B6050000}"/>
    <cellStyle name="▲_リビ建方針書 0304_専務診断報告資料(05.03.30)xls" xfId="1231" xr:uid="{00000000-0005-0000-0000-0000B7050000}"/>
    <cellStyle name="▲_リビ建方針書 0304_専務診断報告資料（０６年３月度）" xfId="1232" xr:uid="{00000000-0005-0000-0000-0000B8050000}"/>
    <cellStyle name="▲_リビ建方針書 0304_第33回品質実践研テーマ" xfId="1233" xr:uid="{00000000-0005-0000-0000-0000B9050000}"/>
    <cellStyle name="▲_リビ建方針書 0304_第34回品質実践研テーマ" xfId="1234" xr:uid="{00000000-0005-0000-0000-0000BA050000}"/>
    <cellStyle name="▲_リビ建方針書 0304_第36回品質実践研テーマ" xfId="1235" xr:uid="{00000000-0005-0000-0000-0000BB050000}"/>
    <cellStyle name="▲_リビ建方針書 0304_第37回品質実践件テーマ（玄収扉）" xfId="1236" xr:uid="{00000000-0005-0000-0000-0000BC050000}"/>
    <cellStyle name="▲_リビ建方針書 0304_第37回品質実践研テーマ" xfId="1237" xr:uid="{00000000-0005-0000-0000-0000BD050000}"/>
    <cellStyle name="▲_リビ建方針書 0304_第38回品質実践研テーマ" xfId="1238" xr:uid="{00000000-0005-0000-0000-0000BE050000}"/>
    <cellStyle name="▲_リビ建方針書 0304_第39回品質実践研テーマ（クロ本体）" xfId="1239" xr:uid="{00000000-0005-0000-0000-0000BF050000}"/>
    <cellStyle name="▲_リビ建方針書 0304_第40回品質実践研テーマ" xfId="1240" xr:uid="{00000000-0005-0000-0000-0000C0050000}"/>
    <cellStyle name="▲_リビ建方針書 0304_第４１回品質実践研（養生）" xfId="1241" xr:uid="{00000000-0005-0000-0000-0000C1050000}"/>
    <cellStyle name="▲_リビ建方針書 0304_第41回品質実践研テーマ（玄収扉）" xfId="1242" xr:uid="{00000000-0005-0000-0000-0000C2050000}"/>
    <cellStyle name="▲_リビ建方針書 0304_品質レベル（ドア枠Ｂ）" xfId="1243" xr:uid="{00000000-0005-0000-0000-0000C3050000}"/>
    <cellStyle name="▲_リビ建方針書 0304_本部長診断会ドア" xfId="1244" xr:uid="{00000000-0005-0000-0000-0000C4050000}"/>
    <cellStyle name="▲_依頼書" xfId="1245" xr:uid="{00000000-0005-0000-0000-0000C5050000}"/>
    <cellStyle name="▲_依頼書 2" xfId="5609" xr:uid="{00000000-0005-0000-0000-0000C6050000}"/>
    <cellStyle name="▲_移動平均" xfId="1246" xr:uid="{00000000-0005-0000-0000-0000C7050000}"/>
    <cellStyle name="▲_一関工場損益（07年度）" xfId="1247" xr:uid="{00000000-0005-0000-0000-0000C8050000}"/>
    <cellStyle name="▲_一関工場損益（07年度） 2" xfId="5610" xr:uid="{00000000-0005-0000-0000-0000C9050000}"/>
    <cellStyle name="▲_一関工場損益（07年度）_2012年度 保全担当者資料" xfId="1248" xr:uid="{00000000-0005-0000-0000-0000CA050000}"/>
    <cellStyle name="▲_一関工場損益（07年度）_2012年度 保全担当者資料 2" xfId="5611" xr:uid="{00000000-0005-0000-0000-0000CB050000}"/>
    <cellStyle name="▲_衛星会社09年問題推進会議資料（ハイパーツ）1" xfId="1249" xr:uid="{00000000-0005-0000-0000-0000CC050000}"/>
    <cellStyle name="▲_衛星会社09年問題推進会議資料（ハイパーツ）1 2" xfId="5612" xr:uid="{00000000-0005-0000-0000-0000CD050000}"/>
    <cellStyle name="▲_衛星会社09年問題推進会議資料（ハイパーツ）1_0810社長報告" xfId="1250" xr:uid="{00000000-0005-0000-0000-0000CE050000}"/>
    <cellStyle name="▲_衛星会社09年問題推進会議資料（ハイパーツ）1_0810小川社長報告(高田分)" xfId="1251" xr:uid="{00000000-0005-0000-0000-0000CF050000}"/>
    <cellStyle name="▲_衛星会社09年問題推進会議資料（ハイパーツ）1_0810小川社長報告(高田分) 2" xfId="5613" xr:uid="{00000000-0005-0000-0000-0000D0050000}"/>
    <cellStyle name="▲_加工検討会" xfId="1252" xr:uid="{00000000-0005-0000-0000-0000D1050000}"/>
    <cellStyle name="▲_稼働日平準化" xfId="1253" xr:uid="{00000000-0005-0000-0000-0000D2050000}"/>
    <cellStyle name="▲_解決策" xfId="3181" xr:uid="{00000000-0005-0000-0000-0000D3050000}"/>
    <cellStyle name="▲_解決策 2" xfId="3182" xr:uid="{00000000-0005-0000-0000-0000D4050000}"/>
    <cellStyle name="▲_解決策 2 2" xfId="3183" xr:uid="{00000000-0005-0000-0000-0000D5050000}"/>
    <cellStyle name="▲_解決策 3" xfId="3184" xr:uid="{00000000-0005-0000-0000-0000D6050000}"/>
    <cellStyle name="▲_解決策 3 2" xfId="3185" xr:uid="{00000000-0005-0000-0000-0000D7050000}"/>
    <cellStyle name="▲_解決策 3 2 2" xfId="3186" xr:uid="{00000000-0005-0000-0000-0000D8050000}"/>
    <cellStyle name="▲_解決策 3 3" xfId="3187" xr:uid="{00000000-0005-0000-0000-0000D9050000}"/>
    <cellStyle name="▲_解決策 4" xfId="3188" xr:uid="{00000000-0005-0000-0000-0000DA050000}"/>
    <cellStyle name="▲_改善シート原紙(2009年度版)" xfId="1254" xr:uid="{00000000-0005-0000-0000-0000DB050000}"/>
    <cellStyle name="▲_改訂中～ 【鋳押】方策系統図" xfId="1255" xr:uid="{00000000-0005-0000-0000-0000DC050000}"/>
    <cellStyle name="▲_開発３係２０１３年７月度方針活動" xfId="3189" xr:uid="{00000000-0005-0000-0000-0000DD050000}"/>
    <cellStyle name="▲_開発情報まとめ（管理用）" xfId="1256" xr:uid="{00000000-0005-0000-0000-0000DE050000}"/>
    <cellStyle name="▲_開発状況まとめ（送付）" xfId="1257" xr:uid="{00000000-0005-0000-0000-0000DF050000}"/>
    <cellStyle name="▲_開閉耐久試験" xfId="1258" xr:uid="{00000000-0005-0000-0000-0000E0050000}"/>
    <cellStyle name="▲_掛率調査信憑性確認" xfId="1259" xr:uid="{00000000-0005-0000-0000-0000E1050000}"/>
    <cellStyle name="▲_掛率変更背景" xfId="1260" xr:uid="{00000000-0005-0000-0000-0000E2050000}"/>
    <cellStyle name="▲_活動内容(13年振返り14年進め方）" xfId="1261" xr:uid="{00000000-0005-0000-0000-0000E3050000}"/>
    <cellStyle name="▲_活動内容(13年振返り14年進め方） 2" xfId="5614" xr:uid="{00000000-0005-0000-0000-0000E4050000}"/>
    <cellStyle name="▲_活動表" xfId="1262" xr:uid="{00000000-0005-0000-0000-0000E5050000}"/>
    <cellStyle name="▲_活動表 2" xfId="5615" xr:uid="{00000000-0005-0000-0000-0000E6050000}"/>
    <cellStyle name="▲_管轄ﾗｲﾝ構成1" xfId="1263" xr:uid="{00000000-0005-0000-0000-0000E7050000}"/>
    <cellStyle name="▲_基本項目実践企画" xfId="1264" xr:uid="{00000000-0005-0000-0000-0000E8050000}"/>
    <cellStyle name="▲_基本項目実践企画 2" xfId="5616" xr:uid="{00000000-0005-0000-0000-0000E9050000}"/>
    <cellStyle name="▲_供給工場決定依頼(ＤＢ')" xfId="1265" xr:uid="{00000000-0005-0000-0000-0000EA050000}"/>
    <cellStyle name="▲_供給工場決定依頼(ＤＢ') 2" xfId="5617" xr:uid="{00000000-0005-0000-0000-0000EB050000}"/>
    <cellStyle name="▲_供給工場決定依頼(ＤＢ')_【クロ框WPライン不良低減】xls" xfId="1266" xr:uid="{00000000-0005-0000-0000-0000EC050000}"/>
    <cellStyle name="▲_供給工場決定依頼(ＤＢ')_【クロ框ＷＰ不良低減活動】" xfId="1267" xr:uid="{00000000-0005-0000-0000-0000ED050000}"/>
    <cellStyle name="▲_供給工場決定依頼(ＤＢ')_【クロ框ＷＰ不良低減活動】 2" xfId="5618" xr:uid="{00000000-0005-0000-0000-0000EE050000}"/>
    <cellStyle name="▲_供給工場決定依頼(ＤＢ')_１１年度【品質】方針フォローシート(下期）" xfId="1268" xr:uid="{00000000-0005-0000-0000-0000EF050000}"/>
    <cellStyle name="▲_供給工場決定依頼(ＤＢ')_１１年度【品質】方針フォローシート(有賀）" xfId="1269" xr:uid="{00000000-0005-0000-0000-0000F0050000}"/>
    <cellStyle name="▲_業革指導会追加資料" xfId="86" xr:uid="{00000000-0005-0000-0000-0000F1050000}"/>
    <cellStyle name="▲_業革指導会追加資料 2" xfId="3190" xr:uid="{00000000-0005-0000-0000-0000F2050000}"/>
    <cellStyle name="▲_業革指導会追加資料_(SR海外)_工程台帳" xfId="1270" xr:uid="{00000000-0005-0000-0000-0000F3050000}"/>
    <cellStyle name="▲_業革指導会追加資料_(SR海外)_工程台帳 2" xfId="3191" xr:uid="{00000000-0005-0000-0000-0000F4050000}"/>
    <cellStyle name="▲_業革指導会追加資料_《PL枠》12年度目指すべき姿" xfId="1271" xr:uid="{00000000-0005-0000-0000-0000F5050000}"/>
    <cellStyle name="▲_業革指導会追加資料_《PL枠》12年度目指すべき姿 2" xfId="3192" xr:uid="{00000000-0005-0000-0000-0000F6050000}"/>
    <cellStyle name="▲_業革指導会追加資料_《PL枠》12年度目指すべき姿_目指す姿フォーマット" xfId="1272" xr:uid="{00000000-0005-0000-0000-0000F7050000}"/>
    <cellStyle name="▲_業革指導会追加資料_《PL枠》12年度目指すべき姿_目指す姿フォーマット 2" xfId="3193" xr:uid="{00000000-0005-0000-0000-0000F8050000}"/>
    <cellStyle name="▲_業革指導会追加資料_《ベルスク２》12年度目指すべき姿" xfId="1273" xr:uid="{00000000-0005-0000-0000-0000F9050000}"/>
    <cellStyle name="▲_業革指導会追加資料_《ベルスク２》12年度目指すべき姿 2" xfId="3194" xr:uid="{00000000-0005-0000-0000-0000FA050000}"/>
    <cellStyle name="▲_業革指導会追加資料_《ベルスク２》12年度目指すべき姿_目指す姿フォーマット" xfId="1274" xr:uid="{00000000-0005-0000-0000-0000FB050000}"/>
    <cellStyle name="▲_業革指導会追加資料_《ベルスク２》12年度目指すべき姿_目指す姿フォーマット 2" xfId="3195" xr:uid="{00000000-0005-0000-0000-0000FC050000}"/>
    <cellStyle name="▲_業革指導会追加資料_【0907ライン別現象別比較】" xfId="1275" xr:uid="{00000000-0005-0000-0000-0000FD050000}"/>
    <cellStyle name="▲_業革指導会追加資料_【0907ライン別現象別比較】 2" xfId="3196" xr:uid="{00000000-0005-0000-0000-0000FE050000}"/>
    <cellStyle name="▲_業革指導会追加資料_【業連】生本ビ 12-36 13年度ﾋﾞﾙ短計ｶﾞｲﾄﾞﾗｲﾝ" xfId="1276" xr:uid="{00000000-0005-0000-0000-0000FF050000}"/>
    <cellStyle name="▲_業革指導会追加資料_【業連】生本ビ 12-36 13年度ﾋﾞﾙ短計ｶﾞｲﾄﾞﾗｲﾝ 2" xfId="3197" xr:uid="{00000000-0005-0000-0000-000000060000}"/>
    <cellStyle name="▲_業革指導会追加資料_【清水B】11年度フォローシート【品質】" xfId="1277" xr:uid="{00000000-0005-0000-0000-000001060000}"/>
    <cellStyle name="▲_業革指導会追加資料_【清水B】11年度フォローシート【品質】 2" xfId="3198" xr:uid="{00000000-0005-0000-0000-000002060000}"/>
    <cellStyle name="▲_業革指導会追加資料_【品質保証レベル（外観含み）】（製造課定義）xls" xfId="1278" xr:uid="{00000000-0005-0000-0000-000003060000}"/>
    <cellStyle name="▲_業革指導会追加資料_【品質保証レベル（外観含み）】（製造課定義）xls 2" xfId="3199" xr:uid="{00000000-0005-0000-0000-000004060000}"/>
    <cellStyle name="▲_業革指導会追加資料_【品質保証レベル向上（まとめ）】" xfId="1279" xr:uid="{00000000-0005-0000-0000-000005060000}"/>
    <cellStyle name="▲_業革指導会追加資料_【品質保証レベル向上（まとめ）】 2" xfId="3200" xr:uid="{00000000-0005-0000-0000-000006060000}"/>
    <cellStyle name="▲_業革指導会追加資料_【有賀】09なし 間違い方策展開系統図 " xfId="1280" xr:uid="{00000000-0005-0000-0000-000007060000}"/>
    <cellStyle name="▲_業革指導会追加資料_【有賀】09なし 間違い方策展開系統図  2" xfId="3201" xr:uid="{00000000-0005-0000-0000-000008060000}"/>
    <cellStyle name="▲_業革指導会追加資料_■【12ライン別】製造原価率推移グラフ" xfId="1281" xr:uid="{00000000-0005-0000-0000-000009060000}"/>
    <cellStyle name="▲_業革指導会追加資料_■【12ライン別】製造原価率推移グラフ 2" xfId="3202" xr:uid="{00000000-0005-0000-0000-00000A060000}"/>
    <cellStyle name="▲_業革指導会追加資料_０５年度方針実績" xfId="1282" xr:uid="{00000000-0005-0000-0000-00000B060000}"/>
    <cellStyle name="▲_業革指導会追加資料_０５年度方針実績 2" xfId="3203" xr:uid="{00000000-0005-0000-0000-00000C060000}"/>
    <cellStyle name="▲_業革指導会追加資料_110706【清水Ｂ品質保証レベル向上進捗シート】xls" xfId="1283" xr:uid="{00000000-0005-0000-0000-00000D060000}"/>
    <cellStyle name="▲_業革指導会追加資料_110706【清水Ｂ品質保証レベル向上進捗シート】xls 2" xfId="3204" xr:uid="{00000000-0005-0000-0000-00000E060000}"/>
    <cellStyle name="▲_業革指導会追加資料_12年度本部長診断現場報告ドア枠" xfId="1284" xr:uid="{00000000-0005-0000-0000-00000F060000}"/>
    <cellStyle name="▲_業革指導会追加資料_12年度本部長診断現場報告ドア枠 2" xfId="3205" xr:uid="{00000000-0005-0000-0000-000010060000}"/>
    <cellStyle name="▲_業革指導会追加資料_12年度本部長診断現場報告ドア枠_目指す姿フォーマット" xfId="1285" xr:uid="{00000000-0005-0000-0000-000011060000}"/>
    <cellStyle name="▲_業革指導会追加資料_12年度本部長診断現場報告ドア枠_目指す姿フォーマット 2" xfId="3206" xr:uid="{00000000-0005-0000-0000-000012060000}"/>
    <cellStyle name="▲_業革指導会追加資料_13年度上期生産性計画" xfId="1286" xr:uid="{00000000-0005-0000-0000-000013060000}"/>
    <cellStyle name="▲_業革指導会追加資料_13年度上期生産性計画 2" xfId="3207" xr:uid="{00000000-0005-0000-0000-000014060000}"/>
    <cellStyle name="▲_業革指導会追加資料_13年度反省書(SR係)" xfId="1287" xr:uid="{00000000-0005-0000-0000-000015060000}"/>
    <cellStyle name="▲_業革指導会追加資料_13年度反省書(SR係) 2" xfId="3208" xr:uid="{00000000-0005-0000-0000-000016060000}"/>
    <cellStyle name="▲_業革指導会追加資料_2012年度 保全担当者資料" xfId="1288" xr:uid="{00000000-0005-0000-0000-000017060000}"/>
    <cellStyle name="▲_業革指導会追加資料_2012年度 保全担当者資料 2" xfId="3209" xr:uid="{00000000-0005-0000-0000-000018060000}"/>
    <cellStyle name="▲_業革指導会追加資料_35回品質実践研テーマ" xfId="1289" xr:uid="{00000000-0005-0000-0000-000019060000}"/>
    <cellStyle name="▲_業革指導会追加資料_35回品質実践研テーマ 2" xfId="3210" xr:uid="{00000000-0005-0000-0000-00001A060000}"/>
    <cellStyle name="▲_業革指導会追加資料_Book1" xfId="1290" xr:uid="{00000000-0005-0000-0000-00001B060000}"/>
    <cellStyle name="▲_業革指導会追加資料_Book1 2" xfId="3211" xr:uid="{00000000-0005-0000-0000-00001C060000}"/>
    <cellStyle name="▲_業革指導会追加資料_Book1_目指す姿フォーマット" xfId="1291" xr:uid="{00000000-0005-0000-0000-00001D060000}"/>
    <cellStyle name="▲_業革指導会追加資料_Book1_目指す姿フォーマット 2" xfId="3212" xr:uid="{00000000-0005-0000-0000-00001E060000}"/>
    <cellStyle name="▲_業革指導会追加資料_ＢＰ説明資料" xfId="1292" xr:uid="{00000000-0005-0000-0000-00001F060000}"/>
    <cellStyle name="▲_業革指導会追加資料_ＢＰ説明資料 2" xfId="3213" xr:uid="{00000000-0005-0000-0000-000020060000}"/>
    <cellStyle name="▲_業革指導会追加資料_FA" xfId="1293" xr:uid="{00000000-0005-0000-0000-000021060000}"/>
    <cellStyle name="▲_業革指導会追加資料_FA 2" xfId="3214" xr:uid="{00000000-0005-0000-0000-000022060000}"/>
    <cellStyle name="▲_業革指導会追加資料_Ｈ改善ＳＨ" xfId="1294" xr:uid="{00000000-0005-0000-0000-000023060000}"/>
    <cellStyle name="▲_業革指導会追加資料_Ｈ改善ＳＨ 2" xfId="3215" xr:uid="{00000000-0005-0000-0000-000024060000}"/>
    <cellStyle name="▲_業革指導会追加資料_Sheet1" xfId="1295" xr:uid="{00000000-0005-0000-0000-000025060000}"/>
    <cellStyle name="▲_業革指導会追加資料_Sheet1 2" xfId="3216" xr:uid="{00000000-0005-0000-0000-000026060000}"/>
    <cellStyle name="▲_業革指導会追加資料_TOPS実践スケジュール（土浦_K" xfId="1296" xr:uid="{00000000-0005-0000-0000-000027060000}"/>
    <cellStyle name="▲_業革指導会追加資料_TOPS実践スケジュール（土浦_K 2" xfId="3217" xr:uid="{00000000-0005-0000-0000-000028060000}"/>
    <cellStyle name="▲_業革指導会追加資料_アトモス報告書買取残" xfId="1297" xr:uid="{00000000-0005-0000-0000-000029060000}"/>
    <cellStyle name="▲_業革指導会追加資料_アトモス報告書買取残 2" xfId="3218" xr:uid="{00000000-0005-0000-0000-00002A060000}"/>
    <cellStyle name="▲_業革指導会追加資料_ページ1" xfId="1298" xr:uid="{00000000-0005-0000-0000-00002B060000}"/>
    <cellStyle name="▲_業革指導会追加資料_ページ1 2" xfId="3219" xr:uid="{00000000-0005-0000-0000-00002C060000}"/>
    <cellStyle name="▲_業革指導会追加資料_リシェントＴＯＰＳ" xfId="1299" xr:uid="{00000000-0005-0000-0000-00002D060000}"/>
    <cellStyle name="▲_業革指導会追加資料_リシェントＴＯＰＳ 2" xfId="3220" xr:uid="{00000000-0005-0000-0000-00002E060000}"/>
    <cellStyle name="▲_業革指導会追加資料_リシェントＴＯＰＳ_目指す姿フォーマット" xfId="1300" xr:uid="{00000000-0005-0000-0000-00002F060000}"/>
    <cellStyle name="▲_業革指導会追加資料_リシェントＴＯＰＳ_目指す姿フォーマット 2" xfId="3221" xr:uid="{00000000-0005-0000-0000-000030060000}"/>
    <cellStyle name="▲_業革指導会追加資料_活動内容(13年振返り14年進め方）" xfId="1301" xr:uid="{00000000-0005-0000-0000-000031060000}"/>
    <cellStyle name="▲_業革指導会追加資料_活動内容(13年振返り14年進め方） 2" xfId="3222" xr:uid="{00000000-0005-0000-0000-000032060000}"/>
    <cellStyle name="▲_業革指導会追加資料_管轄ﾗｲﾝ構成1" xfId="1302" xr:uid="{00000000-0005-0000-0000-000033060000}"/>
    <cellStyle name="▲_業革指導会追加資料_管轄ﾗｲﾝ構成1 2" xfId="3223" xr:uid="{00000000-0005-0000-0000-000034060000}"/>
    <cellStyle name="▲_業革指導会追加資料_工場長診断ドア" xfId="1303" xr:uid="{00000000-0005-0000-0000-000035060000}"/>
    <cellStyle name="▲_業革指導会追加資料_工場長診断ドア 2" xfId="3224" xr:uid="{00000000-0005-0000-0000-000036060000}"/>
    <cellStyle name="▲_業革指導会追加資料_神奈川工務体制" xfId="1304" xr:uid="{00000000-0005-0000-0000-000037060000}"/>
    <cellStyle name="▲_業革指導会追加資料_神奈川工務体制 2" xfId="3225" xr:uid="{00000000-0005-0000-0000-000038060000}"/>
    <cellStyle name="▲_業革指導会追加資料_設技12-004" xfId="1305" xr:uid="{00000000-0005-0000-0000-000039060000}"/>
    <cellStyle name="▲_業革指導会追加資料_設技12-004 2" xfId="3226" xr:uid="{00000000-0005-0000-0000-00003A060000}"/>
    <cellStyle name="▲_業革指導会追加資料_専務診断報告資料(05.03.30)xls" xfId="1306" xr:uid="{00000000-0005-0000-0000-00003B060000}"/>
    <cellStyle name="▲_業革指導会追加資料_専務診断報告資料(05.03.30)xls 2" xfId="3227" xr:uid="{00000000-0005-0000-0000-00003C060000}"/>
    <cellStyle name="▲_業革指導会追加資料_専務診断報告資料（０６年３月度）" xfId="1307" xr:uid="{00000000-0005-0000-0000-00003D060000}"/>
    <cellStyle name="▲_業革指導会追加資料_専務診断報告資料（０６年３月度） 2" xfId="3228" xr:uid="{00000000-0005-0000-0000-00003E060000}"/>
    <cellStyle name="▲_業革指導会追加資料_第33回品質実践研テーマ" xfId="1308" xr:uid="{00000000-0005-0000-0000-00003F060000}"/>
    <cellStyle name="▲_業革指導会追加資料_第33回品質実践研テーマ 2" xfId="3229" xr:uid="{00000000-0005-0000-0000-000040060000}"/>
    <cellStyle name="▲_業革指導会追加資料_第34回品質実践研テーマ" xfId="1309" xr:uid="{00000000-0005-0000-0000-000041060000}"/>
    <cellStyle name="▲_業革指導会追加資料_第34回品質実践研テーマ 2" xfId="3230" xr:uid="{00000000-0005-0000-0000-000042060000}"/>
    <cellStyle name="▲_業革指導会追加資料_第36回品質実践研テーマ" xfId="1310" xr:uid="{00000000-0005-0000-0000-000043060000}"/>
    <cellStyle name="▲_業革指導会追加資料_第36回品質実践研テーマ 2" xfId="3231" xr:uid="{00000000-0005-0000-0000-000044060000}"/>
    <cellStyle name="▲_業革指導会追加資料_第37回品質実践件テーマ（玄収扉）" xfId="1311" xr:uid="{00000000-0005-0000-0000-000045060000}"/>
    <cellStyle name="▲_業革指導会追加資料_第37回品質実践件テーマ（玄収扉） 2" xfId="3232" xr:uid="{00000000-0005-0000-0000-000046060000}"/>
    <cellStyle name="▲_業革指導会追加資料_第37回品質実践研テーマ" xfId="1312" xr:uid="{00000000-0005-0000-0000-000047060000}"/>
    <cellStyle name="▲_業革指導会追加資料_第37回品質実践研テーマ 2" xfId="3233" xr:uid="{00000000-0005-0000-0000-000048060000}"/>
    <cellStyle name="▲_業革指導会追加資料_第38回品質実践研テーマ" xfId="1313" xr:uid="{00000000-0005-0000-0000-000049060000}"/>
    <cellStyle name="▲_業革指導会追加資料_第38回品質実践研テーマ 2" xfId="3234" xr:uid="{00000000-0005-0000-0000-00004A060000}"/>
    <cellStyle name="▲_業革指導会追加資料_第39回品質実践研テーマ（クロ本体）" xfId="1314" xr:uid="{00000000-0005-0000-0000-00004B060000}"/>
    <cellStyle name="▲_業革指導会追加資料_第39回品質実践研テーマ（クロ本体） 2" xfId="3235" xr:uid="{00000000-0005-0000-0000-00004C060000}"/>
    <cellStyle name="▲_業革指導会追加資料_第40回品質実践研テーマ" xfId="1315" xr:uid="{00000000-0005-0000-0000-00004D060000}"/>
    <cellStyle name="▲_業革指導会追加資料_第40回品質実践研テーマ 2" xfId="3236" xr:uid="{00000000-0005-0000-0000-00004E060000}"/>
    <cellStyle name="▲_業革指導会追加資料_第４１回品質実践研（養生）" xfId="1316" xr:uid="{00000000-0005-0000-0000-00004F060000}"/>
    <cellStyle name="▲_業革指導会追加資料_第４１回品質実践研（養生） 2" xfId="3237" xr:uid="{00000000-0005-0000-0000-000050060000}"/>
    <cellStyle name="▲_業革指導会追加資料_第41回品質実践研テーマ（玄収扉）" xfId="1317" xr:uid="{00000000-0005-0000-0000-000051060000}"/>
    <cellStyle name="▲_業革指導会追加資料_第41回品質実践研テーマ（玄収扉） 2" xfId="3238" xr:uid="{00000000-0005-0000-0000-000052060000}"/>
    <cellStyle name="▲_業革指導会追加資料_品質レベル（ドア枠Ｂ）" xfId="1318" xr:uid="{00000000-0005-0000-0000-000053060000}"/>
    <cellStyle name="▲_業革指導会追加資料_品質レベル（ドア枠Ｂ） 2" xfId="3239" xr:uid="{00000000-0005-0000-0000-000054060000}"/>
    <cellStyle name="▲_業革指導会追加資料_本部長診断会ドア" xfId="1319" xr:uid="{00000000-0005-0000-0000-000055060000}"/>
    <cellStyle name="▲_業革指導会追加資料_本部長診断会ドア 2" xfId="3240" xr:uid="{00000000-0005-0000-0000-000056060000}"/>
    <cellStyle name="▲_業績結果(２)" xfId="87" xr:uid="{00000000-0005-0000-0000-000057060000}"/>
    <cellStyle name="▲_業績結果(２) 2" xfId="3241" xr:uid="{00000000-0005-0000-0000-000058060000}"/>
    <cellStyle name="▲_業績結果(２) 2 2" xfId="3242" xr:uid="{00000000-0005-0000-0000-000059060000}"/>
    <cellStyle name="▲_業績結果(２) 3" xfId="3243" xr:uid="{00000000-0005-0000-0000-00005A060000}"/>
    <cellStyle name="▲_業績結果(２) 3 2" xfId="3244" xr:uid="{00000000-0005-0000-0000-00005B060000}"/>
    <cellStyle name="▲_業績結果(２) 3 2 2" xfId="3245" xr:uid="{00000000-0005-0000-0000-00005C060000}"/>
    <cellStyle name="▲_業績結果(２) 3 3" xfId="3246" xr:uid="{00000000-0005-0000-0000-00005D060000}"/>
    <cellStyle name="▲_業績結果(２) 4" xfId="3247" xr:uid="{00000000-0005-0000-0000-00005E060000}"/>
    <cellStyle name="▲_業績結果(２)_(SR海外)_工程台帳" xfId="1320" xr:uid="{00000000-0005-0000-0000-00005F060000}"/>
    <cellStyle name="▲_業績結果(２)_(SR海外)_工程台帳 2" xfId="5619" xr:uid="{00000000-0005-0000-0000-000060060000}"/>
    <cellStyle name="▲_業績結果(２)_《PL枠》12年度目指すべき姿" xfId="1321" xr:uid="{00000000-0005-0000-0000-000061060000}"/>
    <cellStyle name="▲_業績結果(２)_《PL枠》12年度目指すべき姿 2" xfId="5620" xr:uid="{00000000-0005-0000-0000-000062060000}"/>
    <cellStyle name="▲_業績結果(２)_《ベルスク２》12年度目指すべき姿" xfId="1322" xr:uid="{00000000-0005-0000-0000-000063060000}"/>
    <cellStyle name="▲_業績結果(２)_《ベルスク２》12年度目指すべき姿 2" xfId="5621" xr:uid="{00000000-0005-0000-0000-000064060000}"/>
    <cellStyle name="▲_業績結果(２)_【0907ライン別現象別比較】" xfId="1323" xr:uid="{00000000-0005-0000-0000-000065060000}"/>
    <cellStyle name="▲_業績結果(２)_【清水B】11年度フォローシート【品質】" xfId="1324" xr:uid="{00000000-0005-0000-0000-000066060000}"/>
    <cellStyle name="▲_業績結果(２)_【品質保証レベル（外観含み）】（製造課定義）xls" xfId="1325" xr:uid="{00000000-0005-0000-0000-000067060000}"/>
    <cellStyle name="▲_業績結果(２)_【品質保証レベル向上（まとめ）】" xfId="1326" xr:uid="{00000000-0005-0000-0000-000068060000}"/>
    <cellStyle name="▲_業績結果(２)_【有賀】09なし 間違い方策展開系統図 " xfId="1327" xr:uid="{00000000-0005-0000-0000-000069060000}"/>
    <cellStyle name="▲_業績結果(２)_■【12ライン別】製造原価率推移グラフ" xfId="1328" xr:uid="{00000000-0005-0000-0000-00006A060000}"/>
    <cellStyle name="▲_業績結果(２)_０５年度方針実績" xfId="1329" xr:uid="{00000000-0005-0000-0000-00006B060000}"/>
    <cellStyle name="▲_業績結果(２)_110706【清水Ｂ品質保証レベル向上進捗シート】xls" xfId="1330" xr:uid="{00000000-0005-0000-0000-00006C060000}"/>
    <cellStyle name="▲_業績結果(２)_12年度本部長診断現場報告ドア枠" xfId="1331" xr:uid="{00000000-0005-0000-0000-00006D060000}"/>
    <cellStyle name="▲_業績結果(２)_12年度本部長診断現場報告ドア枠 2" xfId="5622" xr:uid="{00000000-0005-0000-0000-00006E060000}"/>
    <cellStyle name="▲_業績結果(２)_13年度上期生産性計画" xfId="1332" xr:uid="{00000000-0005-0000-0000-00006F060000}"/>
    <cellStyle name="▲_業績結果(２)_13年度反省書(SR係)" xfId="1333" xr:uid="{00000000-0005-0000-0000-000070060000}"/>
    <cellStyle name="▲_業績結果(２)_35回品質実践研テーマ" xfId="1334" xr:uid="{00000000-0005-0000-0000-000071060000}"/>
    <cellStyle name="▲_業績結果(２)_ＢＰ説明資料" xfId="1335" xr:uid="{00000000-0005-0000-0000-000072060000}"/>
    <cellStyle name="▲_業績結果(２)_FA" xfId="1336" xr:uid="{00000000-0005-0000-0000-000073060000}"/>
    <cellStyle name="▲_業績結果(２)_FA 2" xfId="5623" xr:uid="{00000000-0005-0000-0000-000074060000}"/>
    <cellStyle name="▲_業績結果(２)_Ｈ改善ＳＨ" xfId="1337" xr:uid="{00000000-0005-0000-0000-000075060000}"/>
    <cellStyle name="▲_業績結果(２)_TOPS実践スケジュール（土浦_K" xfId="1338" xr:uid="{00000000-0005-0000-0000-000076060000}"/>
    <cellStyle name="▲_業績結果(２)_ページ1" xfId="1339" xr:uid="{00000000-0005-0000-0000-000077060000}"/>
    <cellStyle name="▲_業績結果(２)_ページ1 2" xfId="5624" xr:uid="{00000000-0005-0000-0000-000078060000}"/>
    <cellStyle name="▲_業績結果(２)_リシェントＴＯＰＳ" xfId="1340" xr:uid="{00000000-0005-0000-0000-000079060000}"/>
    <cellStyle name="▲_業績結果(２)_リシェントＴＯＰＳ 2" xfId="5625" xr:uid="{00000000-0005-0000-0000-00007A060000}"/>
    <cellStyle name="▲_業績結果(２)_活動内容(13年振返り14年進め方）" xfId="1341" xr:uid="{00000000-0005-0000-0000-00007B060000}"/>
    <cellStyle name="▲_業績結果(２)_活動内容(13年振返り14年進め方） 2" xfId="5626" xr:uid="{00000000-0005-0000-0000-00007C060000}"/>
    <cellStyle name="▲_業績結果(２)_管轄ﾗｲﾝ構成1" xfId="1342" xr:uid="{00000000-0005-0000-0000-00007D060000}"/>
    <cellStyle name="▲_業績結果(２)_工場長診断ドア" xfId="1343" xr:uid="{00000000-0005-0000-0000-00007E060000}"/>
    <cellStyle name="▲_業績結果(２)_神奈川工務体制" xfId="1344" xr:uid="{00000000-0005-0000-0000-00007F060000}"/>
    <cellStyle name="▲_業績結果(２)_設技12-004" xfId="1345" xr:uid="{00000000-0005-0000-0000-000080060000}"/>
    <cellStyle name="▲_業績結果(２)_専務診断報告資料(05.03.30)xls" xfId="1346" xr:uid="{00000000-0005-0000-0000-000081060000}"/>
    <cellStyle name="▲_業績結果(２)_専務診断報告資料（０６年３月度）" xfId="1347" xr:uid="{00000000-0005-0000-0000-000082060000}"/>
    <cellStyle name="▲_業績結果(２)_第33回品質実践研テーマ" xfId="1348" xr:uid="{00000000-0005-0000-0000-000083060000}"/>
    <cellStyle name="▲_業績結果(２)_第34回品質実践研テーマ" xfId="1349" xr:uid="{00000000-0005-0000-0000-000084060000}"/>
    <cellStyle name="▲_業績結果(２)_第36回品質実践研テーマ" xfId="1350" xr:uid="{00000000-0005-0000-0000-000085060000}"/>
    <cellStyle name="▲_業績結果(２)_第37回品質実践件テーマ（玄収扉）" xfId="1351" xr:uid="{00000000-0005-0000-0000-000086060000}"/>
    <cellStyle name="▲_業績結果(２)_第37回品質実践研テーマ" xfId="1352" xr:uid="{00000000-0005-0000-0000-000087060000}"/>
    <cellStyle name="▲_業績結果(２)_第38回品質実践研テーマ" xfId="1353" xr:uid="{00000000-0005-0000-0000-000088060000}"/>
    <cellStyle name="▲_業績結果(２)_第39回品質実践研テーマ（クロ本体）" xfId="1354" xr:uid="{00000000-0005-0000-0000-000089060000}"/>
    <cellStyle name="▲_業績結果(２)_第40回品質実践研テーマ" xfId="1355" xr:uid="{00000000-0005-0000-0000-00008A060000}"/>
    <cellStyle name="▲_業績結果(２)_第４１回品質実践研（養生）" xfId="1356" xr:uid="{00000000-0005-0000-0000-00008B060000}"/>
    <cellStyle name="▲_業績結果(２)_第41回品質実践研テーマ（玄収扉）" xfId="1357" xr:uid="{00000000-0005-0000-0000-00008C060000}"/>
    <cellStyle name="▲_業績結果(２)_品質レベル（ドア枠Ｂ）" xfId="1358" xr:uid="{00000000-0005-0000-0000-00008D060000}"/>
    <cellStyle name="▲_業績結果(２)_本部長診断会ドア" xfId="1359" xr:uid="{00000000-0005-0000-0000-00008E060000}"/>
    <cellStyle name="▲_月次11月uxls" xfId="1360" xr:uid="{00000000-0005-0000-0000-00008F060000}"/>
    <cellStyle name="▲_月次11月uxls 2" xfId="3248" xr:uid="{00000000-0005-0000-0000-000090060000}"/>
    <cellStyle name="▲_月次実績" xfId="1361" xr:uid="{00000000-0005-0000-0000-000091060000}"/>
    <cellStyle name="▲_月次報告会資料データ0606月分" xfId="1362" xr:uid="{00000000-0005-0000-0000-000092060000}"/>
    <cellStyle name="▲_研修計画excel" xfId="1363" xr:uid="{00000000-0005-0000-0000-000093060000}"/>
    <cellStyle name="▲_研修計画excel 2" xfId="3249" xr:uid="{00000000-0005-0000-0000-000094060000}"/>
    <cellStyle name="▲_研修参加者名簿" xfId="1364" xr:uid="{00000000-0005-0000-0000-000095060000}"/>
    <cellStyle name="▲_研修参加者名簿 2" xfId="3250" xr:uid="{00000000-0005-0000-0000-000096060000}"/>
    <cellStyle name="▲_原価推移グラフ" xfId="1365" xr:uid="{00000000-0005-0000-0000-000097060000}"/>
    <cellStyle name="▲_原価推移グラフ 2" xfId="5627" xr:uid="{00000000-0005-0000-0000-000098060000}"/>
    <cellStyle name="▲_原材料費未達理由調査" xfId="1366" xr:uid="{00000000-0005-0000-0000-000099060000}"/>
    <cellStyle name="▲_玄収扉レベル向上進捗シート" xfId="1367" xr:uid="{00000000-0005-0000-0000-00009A060000}"/>
    <cellStyle name="▲_工作计划(tops)" xfId="3251" xr:uid="{00000000-0005-0000-0000-00009B060000}"/>
    <cellStyle name="▲_工場長診断ドア" xfId="1368" xr:uid="{00000000-0005-0000-0000-00009C060000}"/>
    <cellStyle name="▲_三岐重点方策改訂版" xfId="88" xr:uid="{00000000-0005-0000-0000-00009D060000}"/>
    <cellStyle name="▲_三岐重点方策改訂版 2" xfId="3252" xr:uid="{00000000-0005-0000-0000-00009E060000}"/>
    <cellStyle name="▲_三岐重点方策改訂版 2 2" xfId="3253" xr:uid="{00000000-0005-0000-0000-00009F060000}"/>
    <cellStyle name="▲_三岐重点方策改訂版 3" xfId="3254" xr:uid="{00000000-0005-0000-0000-0000A0060000}"/>
    <cellStyle name="▲_三岐重点方策改訂版 3 2" xfId="3255" xr:uid="{00000000-0005-0000-0000-0000A1060000}"/>
    <cellStyle name="▲_三岐重点方策改訂版 3 2 2" xfId="3256" xr:uid="{00000000-0005-0000-0000-0000A2060000}"/>
    <cellStyle name="▲_三岐重点方策改訂版 3 3" xfId="3257" xr:uid="{00000000-0005-0000-0000-0000A3060000}"/>
    <cellStyle name="▲_三岐重点方策改訂版 4" xfId="3258" xr:uid="{00000000-0005-0000-0000-0000A4060000}"/>
    <cellStyle name="▲_三岐重点方策改訂版_(SR海外)_工程台帳" xfId="1369" xr:uid="{00000000-0005-0000-0000-0000A5060000}"/>
    <cellStyle name="▲_三岐重点方策改訂版_(SR海外)_工程台帳 2" xfId="5628" xr:uid="{00000000-0005-0000-0000-0000A6060000}"/>
    <cellStyle name="▲_三岐重点方策改訂版_《PL枠》12年度目指すべき姿" xfId="1370" xr:uid="{00000000-0005-0000-0000-0000A7060000}"/>
    <cellStyle name="▲_三岐重点方策改訂版_《PL枠》12年度目指すべき姿 2" xfId="5629" xr:uid="{00000000-0005-0000-0000-0000A8060000}"/>
    <cellStyle name="▲_三岐重点方策改訂版_《ベルスク２》12年度目指すべき姿" xfId="1371" xr:uid="{00000000-0005-0000-0000-0000A9060000}"/>
    <cellStyle name="▲_三岐重点方策改訂版_《ベルスク２》12年度目指すべき姿 2" xfId="5630" xr:uid="{00000000-0005-0000-0000-0000AA060000}"/>
    <cellStyle name="▲_三岐重点方策改訂版_【0907ライン別現象別比較】" xfId="1372" xr:uid="{00000000-0005-0000-0000-0000AB060000}"/>
    <cellStyle name="▲_三岐重点方策改訂版_【清水B】11年度フォローシート【品質】" xfId="1373" xr:uid="{00000000-0005-0000-0000-0000AC060000}"/>
    <cellStyle name="▲_三岐重点方策改訂版_【品質保証レベル（外観含み）】（製造課定義）xls" xfId="1374" xr:uid="{00000000-0005-0000-0000-0000AD060000}"/>
    <cellStyle name="▲_三岐重点方策改訂版_【品質保証レベル向上（まとめ）】" xfId="1375" xr:uid="{00000000-0005-0000-0000-0000AE060000}"/>
    <cellStyle name="▲_三岐重点方策改訂版_【有賀】09なし 間違い方策展開系統図 " xfId="1376" xr:uid="{00000000-0005-0000-0000-0000AF060000}"/>
    <cellStyle name="▲_三岐重点方策改訂版_■【12ライン別】製造原価率推移グラフ" xfId="1377" xr:uid="{00000000-0005-0000-0000-0000B0060000}"/>
    <cellStyle name="▲_三岐重点方策改訂版_０５年度方針実績" xfId="1378" xr:uid="{00000000-0005-0000-0000-0000B1060000}"/>
    <cellStyle name="▲_三岐重点方策改訂版_110706【清水Ｂ品質保証レベル向上進捗シート】xls" xfId="1379" xr:uid="{00000000-0005-0000-0000-0000B2060000}"/>
    <cellStyle name="▲_三岐重点方策改訂版_12年度本部長診断現場報告ドア枠" xfId="1380" xr:uid="{00000000-0005-0000-0000-0000B3060000}"/>
    <cellStyle name="▲_三岐重点方策改訂版_12年度本部長診断現場報告ドア枠 2" xfId="5631" xr:uid="{00000000-0005-0000-0000-0000B4060000}"/>
    <cellStyle name="▲_三岐重点方策改訂版_13年度上期生産性計画" xfId="1381" xr:uid="{00000000-0005-0000-0000-0000B5060000}"/>
    <cellStyle name="▲_三岐重点方策改訂版_13年度反省書(SR係)" xfId="1382" xr:uid="{00000000-0005-0000-0000-0000B6060000}"/>
    <cellStyle name="▲_三岐重点方策改訂版_35回品質実践研テーマ" xfId="1383" xr:uid="{00000000-0005-0000-0000-0000B7060000}"/>
    <cellStyle name="▲_三岐重点方策改訂版_ＢＰ説明資料" xfId="1384" xr:uid="{00000000-0005-0000-0000-0000B8060000}"/>
    <cellStyle name="▲_三岐重点方策改訂版_FA" xfId="1385" xr:uid="{00000000-0005-0000-0000-0000B9060000}"/>
    <cellStyle name="▲_三岐重点方策改訂版_FA 2" xfId="5632" xr:uid="{00000000-0005-0000-0000-0000BA060000}"/>
    <cellStyle name="▲_三岐重点方策改訂版_Ｈ改善ＳＨ" xfId="1386" xr:uid="{00000000-0005-0000-0000-0000BB060000}"/>
    <cellStyle name="▲_三岐重点方策改訂版_TOPS実践スケジュール（土浦_K" xfId="1387" xr:uid="{00000000-0005-0000-0000-0000BC060000}"/>
    <cellStyle name="▲_三岐重点方策改訂版_ページ1" xfId="1388" xr:uid="{00000000-0005-0000-0000-0000BD060000}"/>
    <cellStyle name="▲_三岐重点方策改訂版_ページ1 2" xfId="5633" xr:uid="{00000000-0005-0000-0000-0000BE060000}"/>
    <cellStyle name="▲_三岐重点方策改訂版_リシェントＴＯＰＳ" xfId="1389" xr:uid="{00000000-0005-0000-0000-0000BF060000}"/>
    <cellStyle name="▲_三岐重点方策改訂版_リシェントＴＯＰＳ 2" xfId="5634" xr:uid="{00000000-0005-0000-0000-0000C0060000}"/>
    <cellStyle name="▲_三岐重点方策改訂版_活動内容(13年振返り14年進め方）" xfId="1390" xr:uid="{00000000-0005-0000-0000-0000C1060000}"/>
    <cellStyle name="▲_三岐重点方策改訂版_活動内容(13年振返り14年進め方） 2" xfId="5635" xr:uid="{00000000-0005-0000-0000-0000C2060000}"/>
    <cellStyle name="▲_三岐重点方策改訂版_管轄ﾗｲﾝ構成1" xfId="1391" xr:uid="{00000000-0005-0000-0000-0000C3060000}"/>
    <cellStyle name="▲_三岐重点方策改訂版_工場長診断ドア" xfId="1392" xr:uid="{00000000-0005-0000-0000-0000C4060000}"/>
    <cellStyle name="▲_三岐重点方策改訂版_神奈川工務体制" xfId="1393" xr:uid="{00000000-0005-0000-0000-0000C5060000}"/>
    <cellStyle name="▲_三岐重点方策改訂版_設技12-004" xfId="1394" xr:uid="{00000000-0005-0000-0000-0000C6060000}"/>
    <cellStyle name="▲_三岐重点方策改訂版_専務診断報告資料(05.03.30)xls" xfId="1395" xr:uid="{00000000-0005-0000-0000-0000C7060000}"/>
    <cellStyle name="▲_三岐重点方策改訂版_専務診断報告資料（０６年３月度）" xfId="1396" xr:uid="{00000000-0005-0000-0000-0000C8060000}"/>
    <cellStyle name="▲_三岐重点方策改訂版_第33回品質実践研テーマ" xfId="1397" xr:uid="{00000000-0005-0000-0000-0000C9060000}"/>
    <cellStyle name="▲_三岐重点方策改訂版_第34回品質実践研テーマ" xfId="1398" xr:uid="{00000000-0005-0000-0000-0000CA060000}"/>
    <cellStyle name="▲_三岐重点方策改訂版_第36回品質実践研テーマ" xfId="1399" xr:uid="{00000000-0005-0000-0000-0000CB060000}"/>
    <cellStyle name="▲_三岐重点方策改訂版_第37回品質実践件テーマ（玄収扉）" xfId="1400" xr:uid="{00000000-0005-0000-0000-0000CC060000}"/>
    <cellStyle name="▲_三岐重点方策改訂版_第37回品質実践研テーマ" xfId="1401" xr:uid="{00000000-0005-0000-0000-0000CD060000}"/>
    <cellStyle name="▲_三岐重点方策改訂版_第38回品質実践研テーマ" xfId="1402" xr:uid="{00000000-0005-0000-0000-0000CE060000}"/>
    <cellStyle name="▲_三岐重点方策改訂版_第39回品質実践研テーマ（クロ本体）" xfId="1403" xr:uid="{00000000-0005-0000-0000-0000CF060000}"/>
    <cellStyle name="▲_三岐重点方策改訂版_第40回品質実践研テーマ" xfId="1404" xr:uid="{00000000-0005-0000-0000-0000D0060000}"/>
    <cellStyle name="▲_三岐重点方策改訂版_第４１回品質実践研（養生）" xfId="1405" xr:uid="{00000000-0005-0000-0000-0000D1060000}"/>
    <cellStyle name="▲_三岐重点方策改訂版_第41回品質実践研テーマ（玄収扉）" xfId="1406" xr:uid="{00000000-0005-0000-0000-0000D2060000}"/>
    <cellStyle name="▲_三岐重点方策改訂版_品質レベル（ドア枠Ｂ）" xfId="1407" xr:uid="{00000000-0005-0000-0000-0000D3060000}"/>
    <cellStyle name="▲_三岐重点方策改訂版_本部長診断会ドア" xfId="1408" xr:uid="{00000000-0005-0000-0000-0000D4060000}"/>
    <cellStyle name="▲_仕様変更報告書兼回答書（ｴﾙｸﾎｰﾑｽﾞ）" xfId="1409" xr:uid="{00000000-0005-0000-0000-0000D5060000}"/>
    <cellStyle name="▲_支店方針概案4" xfId="89" xr:uid="{00000000-0005-0000-0000-0000D6060000}"/>
    <cellStyle name="▲_支店方針概案4 2" xfId="3259" xr:uid="{00000000-0005-0000-0000-0000D7060000}"/>
    <cellStyle name="▲_支店方針概案4_(SR海外)_工程台帳" xfId="1410" xr:uid="{00000000-0005-0000-0000-0000D8060000}"/>
    <cellStyle name="▲_支店方針概案4_(SR海外)_工程台帳 2" xfId="3260" xr:uid="{00000000-0005-0000-0000-0000D9060000}"/>
    <cellStyle name="▲_支店方針概案4_《PL枠》12年度目指すべき姿" xfId="1411" xr:uid="{00000000-0005-0000-0000-0000DA060000}"/>
    <cellStyle name="▲_支店方針概案4_《PL枠》12年度目指すべき姿 2" xfId="3261" xr:uid="{00000000-0005-0000-0000-0000DB060000}"/>
    <cellStyle name="▲_支店方針概案4_《PL枠》12年度目指すべき姿_目指す姿フォーマット" xfId="1412" xr:uid="{00000000-0005-0000-0000-0000DC060000}"/>
    <cellStyle name="▲_支店方針概案4_《PL枠》12年度目指すべき姿_目指す姿フォーマット 2" xfId="3262" xr:uid="{00000000-0005-0000-0000-0000DD060000}"/>
    <cellStyle name="▲_支店方針概案4_《ベルスク２》12年度目指すべき姿" xfId="1413" xr:uid="{00000000-0005-0000-0000-0000DE060000}"/>
    <cellStyle name="▲_支店方針概案4_《ベルスク２》12年度目指すべき姿 2" xfId="3263" xr:uid="{00000000-0005-0000-0000-0000DF060000}"/>
    <cellStyle name="▲_支店方針概案4_《ベルスク２》12年度目指すべき姿_目指す姿フォーマット" xfId="1414" xr:uid="{00000000-0005-0000-0000-0000E0060000}"/>
    <cellStyle name="▲_支店方針概案4_《ベルスク２》12年度目指すべき姿_目指す姿フォーマット 2" xfId="3264" xr:uid="{00000000-0005-0000-0000-0000E1060000}"/>
    <cellStyle name="▲_支店方針概案4_【0907ライン別現象別比較】" xfId="1415" xr:uid="{00000000-0005-0000-0000-0000E2060000}"/>
    <cellStyle name="▲_支店方針概案4_【0907ライン別現象別比較】 2" xfId="3265" xr:uid="{00000000-0005-0000-0000-0000E3060000}"/>
    <cellStyle name="▲_支店方針概案4_【清水B】11年度フォローシート【品質】" xfId="1416" xr:uid="{00000000-0005-0000-0000-0000E4060000}"/>
    <cellStyle name="▲_支店方針概案4_【清水B】11年度フォローシート【品質】 2" xfId="3266" xr:uid="{00000000-0005-0000-0000-0000E5060000}"/>
    <cellStyle name="▲_支店方針概案4_【品質保証レベル（外観含み）】（製造課定義）xls" xfId="1417" xr:uid="{00000000-0005-0000-0000-0000E6060000}"/>
    <cellStyle name="▲_支店方針概案4_【品質保証レベル（外観含み）】（製造課定義）xls 2" xfId="3267" xr:uid="{00000000-0005-0000-0000-0000E7060000}"/>
    <cellStyle name="▲_支店方針概案4_【品質保証レベル向上（まとめ）】" xfId="1418" xr:uid="{00000000-0005-0000-0000-0000E8060000}"/>
    <cellStyle name="▲_支店方針概案4_【品質保証レベル向上（まとめ）】 2" xfId="3268" xr:uid="{00000000-0005-0000-0000-0000E9060000}"/>
    <cellStyle name="▲_支店方針概案4_【有賀】09なし 間違い方策展開系統図 " xfId="1419" xr:uid="{00000000-0005-0000-0000-0000EA060000}"/>
    <cellStyle name="▲_支店方針概案4_【有賀】09なし 間違い方策展開系統図  2" xfId="3269" xr:uid="{00000000-0005-0000-0000-0000EB060000}"/>
    <cellStyle name="▲_支店方針概案4_■【12ライン別】製造原価率推移グラフ" xfId="1420" xr:uid="{00000000-0005-0000-0000-0000EC060000}"/>
    <cellStyle name="▲_支店方針概案4_■【12ライン別】製造原価率推移グラフ 2" xfId="3270" xr:uid="{00000000-0005-0000-0000-0000ED060000}"/>
    <cellStyle name="▲_支店方針概案4_０５年度方針実績" xfId="1421" xr:uid="{00000000-0005-0000-0000-0000EE060000}"/>
    <cellStyle name="▲_支店方針概案4_０５年度方針実績 2" xfId="3271" xr:uid="{00000000-0005-0000-0000-0000EF060000}"/>
    <cellStyle name="▲_支店方針概案4_110706【清水Ｂ品質保証レベル向上進捗シート】xls" xfId="1422" xr:uid="{00000000-0005-0000-0000-0000F0060000}"/>
    <cellStyle name="▲_支店方針概案4_110706【清水Ｂ品質保証レベル向上進捗シート】xls 2" xfId="3272" xr:uid="{00000000-0005-0000-0000-0000F1060000}"/>
    <cellStyle name="▲_支店方針概案4_12年度本部長診断現場報告ドア枠" xfId="1423" xr:uid="{00000000-0005-0000-0000-0000F2060000}"/>
    <cellStyle name="▲_支店方針概案4_12年度本部長診断現場報告ドア枠 2" xfId="3273" xr:uid="{00000000-0005-0000-0000-0000F3060000}"/>
    <cellStyle name="▲_支店方針概案4_12年度本部長診断現場報告ドア枠_目指す姿フォーマット" xfId="1424" xr:uid="{00000000-0005-0000-0000-0000F4060000}"/>
    <cellStyle name="▲_支店方針概案4_12年度本部長診断現場報告ドア枠_目指す姿フォーマット 2" xfId="3274" xr:uid="{00000000-0005-0000-0000-0000F5060000}"/>
    <cellStyle name="▲_支店方針概案4_13年度上期生産性計画" xfId="1425" xr:uid="{00000000-0005-0000-0000-0000F6060000}"/>
    <cellStyle name="▲_支店方針概案4_13年度上期生産性計画 2" xfId="3275" xr:uid="{00000000-0005-0000-0000-0000F7060000}"/>
    <cellStyle name="▲_支店方針概案4_13年度反省書(SR係)" xfId="1426" xr:uid="{00000000-0005-0000-0000-0000F8060000}"/>
    <cellStyle name="▲_支店方針概案4_13年度反省書(SR係) 2" xfId="3276" xr:uid="{00000000-0005-0000-0000-0000F9060000}"/>
    <cellStyle name="▲_支店方針概案4_2012年度 保全担当者資料" xfId="1427" xr:uid="{00000000-0005-0000-0000-0000FA060000}"/>
    <cellStyle name="▲_支店方針概案4_2012年度 保全担当者資料 2" xfId="3277" xr:uid="{00000000-0005-0000-0000-0000FB060000}"/>
    <cellStyle name="▲_支店方針概案4_35回品質実践研テーマ" xfId="1428" xr:uid="{00000000-0005-0000-0000-0000FC060000}"/>
    <cellStyle name="▲_支店方針概案4_35回品質実践研テーマ 2" xfId="3278" xr:uid="{00000000-0005-0000-0000-0000FD060000}"/>
    <cellStyle name="▲_支店方針概案4_Book1" xfId="1429" xr:uid="{00000000-0005-0000-0000-0000FE060000}"/>
    <cellStyle name="▲_支店方針概案4_Book1 2" xfId="3279" xr:uid="{00000000-0005-0000-0000-0000FF060000}"/>
    <cellStyle name="▲_支店方針概案4_Book1_目指す姿フォーマット" xfId="1430" xr:uid="{00000000-0005-0000-0000-000000070000}"/>
    <cellStyle name="▲_支店方針概案4_Book1_目指す姿フォーマット 2" xfId="3280" xr:uid="{00000000-0005-0000-0000-000001070000}"/>
    <cellStyle name="▲_支店方針概案4_ＢＰ説明資料" xfId="1431" xr:uid="{00000000-0005-0000-0000-000002070000}"/>
    <cellStyle name="▲_支店方針概案4_ＢＰ説明資料 2" xfId="3281" xr:uid="{00000000-0005-0000-0000-000003070000}"/>
    <cellStyle name="▲_支店方針概案4_FA" xfId="1432" xr:uid="{00000000-0005-0000-0000-000004070000}"/>
    <cellStyle name="▲_支店方針概案4_FA 2" xfId="3282" xr:uid="{00000000-0005-0000-0000-000005070000}"/>
    <cellStyle name="▲_支店方針概案4_Ｈ改善ＳＨ" xfId="1433" xr:uid="{00000000-0005-0000-0000-000006070000}"/>
    <cellStyle name="▲_支店方針概案4_Ｈ改善ＳＨ 2" xfId="3283" xr:uid="{00000000-0005-0000-0000-000007070000}"/>
    <cellStyle name="▲_支店方針概案4_TOPS実践スケジュール（土浦_K" xfId="1434" xr:uid="{00000000-0005-0000-0000-000008070000}"/>
    <cellStyle name="▲_支店方針概案4_TOPS実践スケジュール（土浦_K 2" xfId="3284" xr:uid="{00000000-0005-0000-0000-000009070000}"/>
    <cellStyle name="▲_支店方針概案4_ページ1" xfId="1435" xr:uid="{00000000-0005-0000-0000-00000A070000}"/>
    <cellStyle name="▲_支店方針概案4_ページ1 2" xfId="3285" xr:uid="{00000000-0005-0000-0000-00000B070000}"/>
    <cellStyle name="▲_支店方針概案4_リシェントＴＯＰＳ" xfId="1436" xr:uid="{00000000-0005-0000-0000-00000C070000}"/>
    <cellStyle name="▲_支店方針概案4_リシェントＴＯＰＳ 2" xfId="3286" xr:uid="{00000000-0005-0000-0000-00000D070000}"/>
    <cellStyle name="▲_支店方針概案4_リシェントＴＯＰＳ_目指す姿フォーマット" xfId="1437" xr:uid="{00000000-0005-0000-0000-00000E070000}"/>
    <cellStyle name="▲_支店方針概案4_リシェントＴＯＰＳ_目指す姿フォーマット 2" xfId="3287" xr:uid="{00000000-0005-0000-0000-00000F070000}"/>
    <cellStyle name="▲_支店方針概案4_活動内容(13年振返り14年進め方）" xfId="1438" xr:uid="{00000000-0005-0000-0000-000010070000}"/>
    <cellStyle name="▲_支店方針概案4_活動内容(13年振返り14年進め方） 2" xfId="3288" xr:uid="{00000000-0005-0000-0000-000011070000}"/>
    <cellStyle name="▲_支店方針概案4_管轄ﾗｲﾝ構成1" xfId="1439" xr:uid="{00000000-0005-0000-0000-000012070000}"/>
    <cellStyle name="▲_支店方針概案4_管轄ﾗｲﾝ構成1 2" xfId="3289" xr:uid="{00000000-0005-0000-0000-000013070000}"/>
    <cellStyle name="▲_支店方針概案4_工場長診断ドア" xfId="1440" xr:uid="{00000000-0005-0000-0000-000014070000}"/>
    <cellStyle name="▲_支店方針概案4_工場長診断ドア 2" xfId="3290" xr:uid="{00000000-0005-0000-0000-000015070000}"/>
    <cellStyle name="▲_支店方針概案4_神奈川工務体制" xfId="1441" xr:uid="{00000000-0005-0000-0000-000016070000}"/>
    <cellStyle name="▲_支店方針概案4_神奈川工務体制 2" xfId="3291" xr:uid="{00000000-0005-0000-0000-000017070000}"/>
    <cellStyle name="▲_支店方針概案4_設技12-004" xfId="1442" xr:uid="{00000000-0005-0000-0000-000018070000}"/>
    <cellStyle name="▲_支店方針概案4_設技12-004 2" xfId="3292" xr:uid="{00000000-0005-0000-0000-000019070000}"/>
    <cellStyle name="▲_支店方針概案4_専務診断報告資料(05.03.30)xls" xfId="1443" xr:uid="{00000000-0005-0000-0000-00001A070000}"/>
    <cellStyle name="▲_支店方針概案4_専務診断報告資料(05.03.30)xls 2" xfId="3293" xr:uid="{00000000-0005-0000-0000-00001B070000}"/>
    <cellStyle name="▲_支店方針概案4_専務診断報告資料（０６年３月度）" xfId="1444" xr:uid="{00000000-0005-0000-0000-00001C070000}"/>
    <cellStyle name="▲_支店方針概案4_専務診断報告資料（０６年３月度） 2" xfId="3294" xr:uid="{00000000-0005-0000-0000-00001D070000}"/>
    <cellStyle name="▲_支店方針概案4_第33回品質実践研テーマ" xfId="1445" xr:uid="{00000000-0005-0000-0000-00001E070000}"/>
    <cellStyle name="▲_支店方針概案4_第33回品質実践研テーマ 2" xfId="3295" xr:uid="{00000000-0005-0000-0000-00001F070000}"/>
    <cellStyle name="▲_支店方針概案4_第34回品質実践研テーマ" xfId="1446" xr:uid="{00000000-0005-0000-0000-000020070000}"/>
    <cellStyle name="▲_支店方針概案4_第34回品質実践研テーマ 2" xfId="3296" xr:uid="{00000000-0005-0000-0000-000021070000}"/>
    <cellStyle name="▲_支店方針概案4_第36回品質実践研テーマ" xfId="1447" xr:uid="{00000000-0005-0000-0000-000022070000}"/>
    <cellStyle name="▲_支店方針概案4_第36回品質実践研テーマ 2" xfId="3297" xr:uid="{00000000-0005-0000-0000-000023070000}"/>
    <cellStyle name="▲_支店方針概案4_第37回品質実践件テーマ（玄収扉）" xfId="1448" xr:uid="{00000000-0005-0000-0000-000024070000}"/>
    <cellStyle name="▲_支店方針概案4_第37回品質実践件テーマ（玄収扉） 2" xfId="3298" xr:uid="{00000000-0005-0000-0000-000025070000}"/>
    <cellStyle name="▲_支店方針概案4_第37回品質実践研テーマ" xfId="1449" xr:uid="{00000000-0005-0000-0000-000026070000}"/>
    <cellStyle name="▲_支店方針概案4_第37回品質実践研テーマ 2" xfId="3299" xr:uid="{00000000-0005-0000-0000-000027070000}"/>
    <cellStyle name="▲_支店方針概案4_第38回品質実践研テーマ" xfId="1450" xr:uid="{00000000-0005-0000-0000-000028070000}"/>
    <cellStyle name="▲_支店方針概案4_第38回品質実践研テーマ 2" xfId="3300" xr:uid="{00000000-0005-0000-0000-000029070000}"/>
    <cellStyle name="▲_支店方針概案4_第39回品質実践研テーマ（クロ本体）" xfId="1451" xr:uid="{00000000-0005-0000-0000-00002A070000}"/>
    <cellStyle name="▲_支店方針概案4_第39回品質実践研テーマ（クロ本体） 2" xfId="3301" xr:uid="{00000000-0005-0000-0000-00002B070000}"/>
    <cellStyle name="▲_支店方針概案4_第40回品質実践研テーマ" xfId="1452" xr:uid="{00000000-0005-0000-0000-00002C070000}"/>
    <cellStyle name="▲_支店方針概案4_第40回品質実践研テーマ 2" xfId="3302" xr:uid="{00000000-0005-0000-0000-00002D070000}"/>
    <cellStyle name="▲_支店方針概案4_第４１回品質実践研（養生）" xfId="1453" xr:uid="{00000000-0005-0000-0000-00002E070000}"/>
    <cellStyle name="▲_支店方針概案4_第４１回品質実践研（養生） 2" xfId="3303" xr:uid="{00000000-0005-0000-0000-00002F070000}"/>
    <cellStyle name="▲_支店方針概案4_第41回品質実践研テーマ（玄収扉）" xfId="1454" xr:uid="{00000000-0005-0000-0000-000030070000}"/>
    <cellStyle name="▲_支店方針概案4_第41回品質実践研テーマ（玄収扉） 2" xfId="3304" xr:uid="{00000000-0005-0000-0000-000031070000}"/>
    <cellStyle name="▲_支店方針概案4_品質レベル（ドア枠Ｂ）" xfId="1455" xr:uid="{00000000-0005-0000-0000-000032070000}"/>
    <cellStyle name="▲_支店方針概案4_品質レベル（ドア枠Ｂ） 2" xfId="3305" xr:uid="{00000000-0005-0000-0000-000033070000}"/>
    <cellStyle name="▲_支店方針概案4_本部長診断会ドア" xfId="1456" xr:uid="{00000000-0005-0000-0000-000034070000}"/>
    <cellStyle name="▲_支店方針概案4_本部長診断会ドア 2" xfId="3306" xr:uid="{00000000-0005-0000-0000-000035070000}"/>
    <cellStyle name="▲_試験データ" xfId="1457" xr:uid="{00000000-0005-0000-0000-000036070000}"/>
    <cellStyle name="▲_試験結果" xfId="1458" xr:uid="{00000000-0005-0000-0000-000037070000}"/>
    <cellStyle name="▲_自主研の進め方" xfId="1459" xr:uid="{00000000-0005-0000-0000-000038070000}"/>
    <cellStyle name="▲_自主研の進め方 2" xfId="3307" xr:uid="{00000000-0005-0000-0000-000039070000}"/>
    <cellStyle name="▲_収納要求品質展開表" xfId="3308" xr:uid="{00000000-0005-0000-0000-00003A070000}"/>
    <cellStyle name="▲_収納要求品質展開表 2" xfId="3309" xr:uid="{00000000-0005-0000-0000-00003B070000}"/>
    <cellStyle name="▲_収納要求品質展開表 2 2" xfId="3310" xr:uid="{00000000-0005-0000-0000-00003C070000}"/>
    <cellStyle name="▲_収納要求品質展開表 2 2 2" xfId="3311" xr:uid="{00000000-0005-0000-0000-00003D070000}"/>
    <cellStyle name="▲_収納要求品質展開表 2 2 2 2" xfId="3312" xr:uid="{00000000-0005-0000-0000-00003E070000}"/>
    <cellStyle name="▲_収納要求品質展開表 2 2 3" xfId="3313" xr:uid="{00000000-0005-0000-0000-00003F070000}"/>
    <cellStyle name="▲_収納要求品質展開表 2 2 3 2" xfId="3314" xr:uid="{00000000-0005-0000-0000-000040070000}"/>
    <cellStyle name="▲_収納要求品質展開表 2 2 3 2 2" xfId="3315" xr:uid="{00000000-0005-0000-0000-000041070000}"/>
    <cellStyle name="▲_収納要求品質展開表 2 2 3 3" xfId="3316" xr:uid="{00000000-0005-0000-0000-000042070000}"/>
    <cellStyle name="▲_収納要求品質展開表 2 2 4" xfId="3317" xr:uid="{00000000-0005-0000-0000-000043070000}"/>
    <cellStyle name="▲_収納要求品質展開表 2 3" xfId="3318" xr:uid="{00000000-0005-0000-0000-000044070000}"/>
    <cellStyle name="▲_収納要求品質展開表 3" xfId="3319" xr:uid="{00000000-0005-0000-0000-000045070000}"/>
    <cellStyle name="▲_週報091113" xfId="1460" xr:uid="{00000000-0005-0000-0000-000046070000}"/>
    <cellStyle name="▲_住器業務報告0506" xfId="1461" xr:uid="{00000000-0005-0000-0000-000047070000}"/>
    <cellStyle name="▲_住器業務報告0703" xfId="1462" xr:uid="{00000000-0005-0000-0000-000048070000}"/>
    <cellStyle name="▲_重点先すりあわせ票" xfId="90" xr:uid="{00000000-0005-0000-0000-000049070000}"/>
    <cellStyle name="▲_重点先すりあわせ票 2" xfId="3320" xr:uid="{00000000-0005-0000-0000-00004A070000}"/>
    <cellStyle name="▲_重点先すりあわせ票 2 2" xfId="3321" xr:uid="{00000000-0005-0000-0000-00004B070000}"/>
    <cellStyle name="▲_重点先すりあわせ票 2 2 2" xfId="3322" xr:uid="{00000000-0005-0000-0000-00004C070000}"/>
    <cellStyle name="▲_重点先すりあわせ票 2 2 2 2" xfId="3323" xr:uid="{00000000-0005-0000-0000-00004D070000}"/>
    <cellStyle name="▲_重点先すりあわせ票 2 2 3" xfId="3324" xr:uid="{00000000-0005-0000-0000-00004E070000}"/>
    <cellStyle name="▲_重点先すりあわせ票 2 2 3 2" xfId="3325" xr:uid="{00000000-0005-0000-0000-00004F070000}"/>
    <cellStyle name="▲_重点先すりあわせ票 2 2 3 2 2" xfId="3326" xr:uid="{00000000-0005-0000-0000-000050070000}"/>
    <cellStyle name="▲_重点先すりあわせ票 2 2 3 3" xfId="3327" xr:uid="{00000000-0005-0000-0000-000051070000}"/>
    <cellStyle name="▲_重点先すりあわせ票 2 2 4" xfId="3328" xr:uid="{00000000-0005-0000-0000-000052070000}"/>
    <cellStyle name="▲_重点先すりあわせ票 2 3" xfId="3329" xr:uid="{00000000-0005-0000-0000-000053070000}"/>
    <cellStyle name="▲_重点先すりあわせ票 3" xfId="3330" xr:uid="{00000000-0005-0000-0000-000054070000}"/>
    <cellStyle name="▲_重点先すりあわせ票_《PL枠》12年度目指すべき姿" xfId="1463" xr:uid="{00000000-0005-0000-0000-000055070000}"/>
    <cellStyle name="▲_重点先すりあわせ票_《PL枠》12年度目指すべき姿 2" xfId="5636" xr:uid="{00000000-0005-0000-0000-000056070000}"/>
    <cellStyle name="▲_重点先すりあわせ票_《ベルスク２》12年度目指すべき姿" xfId="1464" xr:uid="{00000000-0005-0000-0000-000057070000}"/>
    <cellStyle name="▲_重点先すりあわせ票_《ベルスク２》12年度目指すべき姿 2" xfId="5637" xr:uid="{00000000-0005-0000-0000-000058070000}"/>
    <cellStyle name="▲_重点先すりあわせ票_【0907ライン別現象別比較】" xfId="1465" xr:uid="{00000000-0005-0000-0000-000059070000}"/>
    <cellStyle name="▲_重点先すりあわせ票_【プレナス枠】12年度ベクトル会" xfId="1466" xr:uid="{00000000-0005-0000-0000-00005A070000}"/>
    <cellStyle name="▲_重点先すりあわせ票_【清水B】11年度フォローシート【品質】" xfId="1467" xr:uid="{00000000-0005-0000-0000-00005B070000}"/>
    <cellStyle name="▲_重点先すりあわせ票_【品質保証レベル（外観含み）】（製造課定義）xls" xfId="1468" xr:uid="{00000000-0005-0000-0000-00005C070000}"/>
    <cellStyle name="▲_重点先すりあわせ票_【品質保証レベル向上（まとめ）】" xfId="1469" xr:uid="{00000000-0005-0000-0000-00005D070000}"/>
    <cellStyle name="▲_重点先すりあわせ票_【有賀】09なし 間違い方策展開系統図 " xfId="1470" xr:uid="{00000000-0005-0000-0000-00005E070000}"/>
    <cellStyle name="▲_重点先すりあわせ票_★量管理資料05.4-3" xfId="1471" xr:uid="{00000000-0005-0000-0000-00005F070000}"/>
    <cellStyle name="▲_重点先すりあわせ票_０５年度方針実績" xfId="1472" xr:uid="{00000000-0005-0000-0000-000060070000}"/>
    <cellStyle name="▲_重点先すりあわせ票_080215荷捌き点検結果" xfId="1473" xr:uid="{00000000-0005-0000-0000-000061070000}"/>
    <cellStyle name="▲_重点先すりあわせ票_080416LMS新潟打合せ内容" xfId="1474" xr:uid="{00000000-0005-0000-0000-000062070000}"/>
    <cellStyle name="▲_重点先すりあわせ票_110706【清水Ｂ品質保証レベル向上進捗シート】xls" xfId="1475" xr:uid="{00000000-0005-0000-0000-000063070000}"/>
    <cellStyle name="▲_重点先すりあわせ票_12年度本部長診断現場報告ドア枠" xfId="1476" xr:uid="{00000000-0005-0000-0000-000064070000}"/>
    <cellStyle name="▲_重点先すりあわせ票_12年度本部長診断現場報告ドア枠 2" xfId="5638" xr:uid="{00000000-0005-0000-0000-000065070000}"/>
    <cellStyle name="▲_重点先すりあわせ票_35回品質実践研テーマ" xfId="1477" xr:uid="{00000000-0005-0000-0000-000066070000}"/>
    <cellStyle name="▲_重点先すりあわせ票_ＢＰ説明資料" xfId="1478" xr:uid="{00000000-0005-0000-0000-000067070000}"/>
    <cellStyle name="▲_重点先すりあわせ票_FA" xfId="1479" xr:uid="{00000000-0005-0000-0000-000068070000}"/>
    <cellStyle name="▲_重点先すりあわせ票_FA 2" xfId="5639" xr:uid="{00000000-0005-0000-0000-000069070000}"/>
    <cellStyle name="▲_重点先すりあわせ票_Ｈ改善ＳＨ" xfId="1480" xr:uid="{00000000-0005-0000-0000-00006A070000}"/>
    <cellStyle name="▲_重点先すりあわせ票_MQAカード" xfId="1481" xr:uid="{00000000-0005-0000-0000-00006B070000}"/>
    <cellStyle name="▲_重点先すりあわせ票_MQAカード 2" xfId="5640" xr:uid="{00000000-0005-0000-0000-00006C070000}"/>
    <cellStyle name="▲_重点先すりあわせ票_SK狙いの姿PART4" xfId="1482" xr:uid="{00000000-0005-0000-0000-00006D070000}"/>
    <cellStyle name="▲_重点先すりあわせ票_TOPS実践スケジュール（土浦_K" xfId="1483" xr:uid="{00000000-0005-0000-0000-00006E070000}"/>
    <cellStyle name="▲_重点先すりあわせ票_ページ1" xfId="1484" xr:uid="{00000000-0005-0000-0000-00006F070000}"/>
    <cellStyle name="▲_重点先すりあわせ票_ページ1 2" xfId="5641" xr:uid="{00000000-0005-0000-0000-000070070000}"/>
    <cellStyle name="▲_重点先すりあわせ票_ライン改善実践治具【２０１１0524改訂版】" xfId="1485" xr:uid="{00000000-0005-0000-0000-000071070000}"/>
    <cellStyle name="▲_重点先すりあわせ票_ライン改善実践治具【２０１１0524改訂版】 2" xfId="5642" xr:uid="{00000000-0005-0000-0000-000072070000}"/>
    <cellStyle name="▲_重点先すりあわせ票_リシェントＴＯＰＳ" xfId="1486" xr:uid="{00000000-0005-0000-0000-000073070000}"/>
    <cellStyle name="▲_重点先すりあわせ票_リシェントＴＯＰＳ 2" xfId="5643" xr:uid="{00000000-0005-0000-0000-000074070000}"/>
    <cellStyle name="▲_重点先すりあわせ票_レジメ" xfId="91" xr:uid="{00000000-0005-0000-0000-000075070000}"/>
    <cellStyle name="▲_重点先すりあわせ票_レジメ 2" xfId="3331" xr:uid="{00000000-0005-0000-0000-000076070000}"/>
    <cellStyle name="▲_重点先すりあわせ票_レジメ 2 2" xfId="3332" xr:uid="{00000000-0005-0000-0000-000077070000}"/>
    <cellStyle name="▲_重点先すりあわせ票_レジメ 2 2 2" xfId="3333" xr:uid="{00000000-0005-0000-0000-000078070000}"/>
    <cellStyle name="▲_重点先すりあわせ票_レジメ 2 2 2 2" xfId="3334" xr:uid="{00000000-0005-0000-0000-000079070000}"/>
    <cellStyle name="▲_重点先すりあわせ票_レジメ 2 2 3" xfId="3335" xr:uid="{00000000-0005-0000-0000-00007A070000}"/>
    <cellStyle name="▲_重点先すりあわせ票_レジメ 2 2 3 2" xfId="3336" xr:uid="{00000000-0005-0000-0000-00007B070000}"/>
    <cellStyle name="▲_重点先すりあわせ票_レジメ 2 2 3 2 2" xfId="3337" xr:uid="{00000000-0005-0000-0000-00007C070000}"/>
    <cellStyle name="▲_重点先すりあわせ票_レジメ 2 2 3 3" xfId="3338" xr:uid="{00000000-0005-0000-0000-00007D070000}"/>
    <cellStyle name="▲_重点先すりあわせ票_レジメ 2 2 4" xfId="3339" xr:uid="{00000000-0005-0000-0000-00007E070000}"/>
    <cellStyle name="▲_重点先すりあわせ票_レジメ 2 3" xfId="3340" xr:uid="{00000000-0005-0000-0000-00007F070000}"/>
    <cellStyle name="▲_重点先すりあわせ票_レジメ 3" xfId="3341" xr:uid="{00000000-0005-0000-0000-000080070000}"/>
    <cellStyle name="▲_重点先すりあわせ票_レジメ_《PL枠》12年度目指すべき姿" xfId="1487" xr:uid="{00000000-0005-0000-0000-000081070000}"/>
    <cellStyle name="▲_重点先すりあわせ票_レジメ_《PL枠》12年度目指すべき姿 2" xfId="5644" xr:uid="{00000000-0005-0000-0000-000082070000}"/>
    <cellStyle name="▲_重点先すりあわせ票_レジメ_《ベルスク２》12年度目指すべき姿" xfId="1488" xr:uid="{00000000-0005-0000-0000-000083070000}"/>
    <cellStyle name="▲_重点先すりあわせ票_レジメ_《ベルスク２》12年度目指すべき姿 2" xfId="5645" xr:uid="{00000000-0005-0000-0000-000084070000}"/>
    <cellStyle name="▲_重点先すりあわせ票_レジメ_【0907ライン別現象別比較】" xfId="1489" xr:uid="{00000000-0005-0000-0000-000085070000}"/>
    <cellStyle name="▲_重点先すりあわせ票_レジメ_【プレナス枠】12年度ベクトル会" xfId="1490" xr:uid="{00000000-0005-0000-0000-000086070000}"/>
    <cellStyle name="▲_重点先すりあわせ票_レジメ_【清水B】11年度フォローシート【品質】" xfId="1491" xr:uid="{00000000-0005-0000-0000-000087070000}"/>
    <cellStyle name="▲_重点先すりあわせ票_レジメ_【品質保証レベル（外観含み）】（製造課定義）xls" xfId="1492" xr:uid="{00000000-0005-0000-0000-000088070000}"/>
    <cellStyle name="▲_重点先すりあわせ票_レジメ_【品質保証レベル向上（まとめ）】" xfId="1493" xr:uid="{00000000-0005-0000-0000-000089070000}"/>
    <cellStyle name="▲_重点先すりあわせ票_レジメ_【有賀】09なし 間違い方策展開系統図 " xfId="1494" xr:uid="{00000000-0005-0000-0000-00008A070000}"/>
    <cellStyle name="▲_重点先すりあわせ票_レジメ_★量管理資料05.4-3" xfId="1495" xr:uid="{00000000-0005-0000-0000-00008B070000}"/>
    <cellStyle name="▲_重点先すりあわせ票_レジメ_０５年度方針実績" xfId="1496" xr:uid="{00000000-0005-0000-0000-00008C070000}"/>
    <cellStyle name="▲_重点先すりあわせ票_レジメ_080215荷捌き点検結果" xfId="1497" xr:uid="{00000000-0005-0000-0000-00008D070000}"/>
    <cellStyle name="▲_重点先すりあわせ票_レジメ_080416LMS新潟打合せ内容" xfId="1498" xr:uid="{00000000-0005-0000-0000-00008E070000}"/>
    <cellStyle name="▲_重点先すりあわせ票_レジメ_0918集約率" xfId="1499" xr:uid="{00000000-0005-0000-0000-00008F070000}"/>
    <cellStyle name="▲_重点先すりあわせ票_レジメ_110706【清水Ｂ品質保証レベル向上進捗シート】xls" xfId="1500" xr:uid="{00000000-0005-0000-0000-000090070000}"/>
    <cellStyle name="▲_重点先すりあわせ票_レジメ_12年度本部長診断現場報告ドア枠" xfId="1501" xr:uid="{00000000-0005-0000-0000-000091070000}"/>
    <cellStyle name="▲_重点先すりあわせ票_レジメ_12年度本部長診断現場報告ドア枠 2" xfId="5646" xr:uid="{00000000-0005-0000-0000-000092070000}"/>
    <cellStyle name="▲_重点先すりあわせ票_レジメ_35回品質実践研テーマ" xfId="1502" xr:uid="{00000000-0005-0000-0000-000093070000}"/>
    <cellStyle name="▲_重点先すりあわせ票_レジメ_ＢＰ説明資料" xfId="1503" xr:uid="{00000000-0005-0000-0000-000094070000}"/>
    <cellStyle name="▲_重点先すりあわせ票_レジメ_FA" xfId="1504" xr:uid="{00000000-0005-0000-0000-000095070000}"/>
    <cellStyle name="▲_重点先すりあわせ票_レジメ_FA 2" xfId="5647" xr:uid="{00000000-0005-0000-0000-000096070000}"/>
    <cellStyle name="▲_重点先すりあわせ票_レジメ_Ｈ改善ＳＨ" xfId="1505" xr:uid="{00000000-0005-0000-0000-000097070000}"/>
    <cellStyle name="▲_重点先すりあわせ票_レジメ_MQAカード" xfId="1506" xr:uid="{00000000-0005-0000-0000-000098070000}"/>
    <cellStyle name="▲_重点先すりあわせ票_レジメ_MQAカード 2" xfId="5648" xr:uid="{00000000-0005-0000-0000-000099070000}"/>
    <cellStyle name="▲_重点先すりあわせ票_レジメ_SK狙いの姿PART4" xfId="1507" xr:uid="{00000000-0005-0000-0000-00009A070000}"/>
    <cellStyle name="▲_重点先すりあわせ票_レジメ_TOPS実践スケジュール（土浦_K" xfId="1508" xr:uid="{00000000-0005-0000-0000-00009B070000}"/>
    <cellStyle name="▲_重点先すりあわせ票_レジメ_ページ1" xfId="1509" xr:uid="{00000000-0005-0000-0000-00009C070000}"/>
    <cellStyle name="▲_重点先すりあわせ票_レジメ_ページ1 2" xfId="5649" xr:uid="{00000000-0005-0000-0000-00009D070000}"/>
    <cellStyle name="▲_重点先すりあわせ票_レジメ_ライン改善実践治具【２０１１0524改訂版】" xfId="1510" xr:uid="{00000000-0005-0000-0000-00009E070000}"/>
    <cellStyle name="▲_重点先すりあわせ票_レジメ_ライン改善実践治具【２０１１0524改訂版】 2" xfId="5650" xr:uid="{00000000-0005-0000-0000-00009F070000}"/>
    <cellStyle name="▲_重点先すりあわせ票_レジメ_リシェントＴＯＰＳ" xfId="1511" xr:uid="{00000000-0005-0000-0000-0000A0070000}"/>
    <cellStyle name="▲_重点先すりあわせ票_レジメ_リシェントＴＯＰＳ 2" xfId="5651" xr:uid="{00000000-0005-0000-0000-0000A1070000}"/>
    <cellStyle name="▲_重点先すりあわせ票_レジメ_改善シート原紙(2009年度版)" xfId="1512" xr:uid="{00000000-0005-0000-0000-0000A2070000}"/>
    <cellStyle name="▲_重点先すりあわせ票_レジメ_活動内容(13年振返り14年進め方）" xfId="1513" xr:uid="{00000000-0005-0000-0000-0000A3070000}"/>
    <cellStyle name="▲_重点先すりあわせ票_レジメ_活動内容(13年振返り14年進め方） 2" xfId="5652" xr:uid="{00000000-0005-0000-0000-0000A4070000}"/>
    <cellStyle name="▲_重点先すりあわせ票_レジメ_工場長診断ドア" xfId="1514" xr:uid="{00000000-0005-0000-0000-0000A5070000}"/>
    <cellStyle name="▲_重点先すりあわせ票_レジメ_神奈川工務体制" xfId="1515" xr:uid="{00000000-0005-0000-0000-0000A6070000}"/>
    <cellStyle name="▲_重点先すりあわせ票_レジメ_進捗確認フォーマット" xfId="1516" xr:uid="{00000000-0005-0000-0000-0000A7070000}"/>
    <cellStyle name="▲_重点先すりあわせ票_レジメ_進捗確認フォーマット 2" xfId="5653" xr:uid="{00000000-0005-0000-0000-0000A8070000}"/>
    <cellStyle name="▲_重点先すりあわせ票_レジメ_専務診断報告資料(05.03.30)xls" xfId="1517" xr:uid="{00000000-0005-0000-0000-0000A9070000}"/>
    <cellStyle name="▲_重点先すりあわせ票_レジメ_専務診断報告資料（０６年３月度）" xfId="1518" xr:uid="{00000000-0005-0000-0000-0000AA070000}"/>
    <cellStyle name="▲_重点先すりあわせ票_レジメ_第33回品質実践研テーマ" xfId="1519" xr:uid="{00000000-0005-0000-0000-0000AB070000}"/>
    <cellStyle name="▲_重点先すりあわせ票_レジメ_第34回品質実践研テーマ" xfId="1520" xr:uid="{00000000-0005-0000-0000-0000AC070000}"/>
    <cellStyle name="▲_重点先すりあわせ票_レジメ_第36回品質実践研テーマ" xfId="1521" xr:uid="{00000000-0005-0000-0000-0000AD070000}"/>
    <cellStyle name="▲_重点先すりあわせ票_レジメ_第37回品質実践件テーマ（玄収扉）" xfId="1522" xr:uid="{00000000-0005-0000-0000-0000AE070000}"/>
    <cellStyle name="▲_重点先すりあわせ票_レジメ_第37回品質実践研テーマ" xfId="1523" xr:uid="{00000000-0005-0000-0000-0000AF070000}"/>
    <cellStyle name="▲_重点先すりあわせ票_レジメ_第38回品質実践研テーマ" xfId="1524" xr:uid="{00000000-0005-0000-0000-0000B0070000}"/>
    <cellStyle name="▲_重点先すりあわせ票_レジメ_第39回品質実践研テーマ（クロ本体）" xfId="1525" xr:uid="{00000000-0005-0000-0000-0000B1070000}"/>
    <cellStyle name="▲_重点先すりあわせ票_レジメ_第40回品質実践研テーマ" xfId="1526" xr:uid="{00000000-0005-0000-0000-0000B2070000}"/>
    <cellStyle name="▲_重点先すりあわせ票_レジメ_第４１回品質実践研（養生）" xfId="1527" xr:uid="{00000000-0005-0000-0000-0000B3070000}"/>
    <cellStyle name="▲_重点先すりあわせ票_レジメ_第41回品質実践研テーマ（玄収扉）" xfId="1528" xr:uid="{00000000-0005-0000-0000-0000B4070000}"/>
    <cellStyle name="▲_重点先すりあわせ票_レジメ_標準作業組合せ票" xfId="1529" xr:uid="{00000000-0005-0000-0000-0000B5070000}"/>
    <cellStyle name="▲_重点先すりあわせ票_レジメ_標準作業組合せ票 2" xfId="5654" xr:uid="{00000000-0005-0000-0000-0000B6070000}"/>
    <cellStyle name="▲_重点先すりあわせ票_レジメ_品質レベル（ドア枠Ｂ）" xfId="1530" xr:uid="{00000000-0005-0000-0000-0000B7070000}"/>
    <cellStyle name="▲_重点先すりあわせ票_レジメ_本部長診断会ドア" xfId="1531" xr:uid="{00000000-0005-0000-0000-0000B8070000}"/>
    <cellStyle name="▲_重点先すりあわせ票_レジメ_目指す姿" xfId="1532" xr:uid="{00000000-0005-0000-0000-0000B9070000}"/>
    <cellStyle name="▲_重点先すりあわせ票_レジメ_目指す姿 2" xfId="5655" xr:uid="{00000000-0005-0000-0000-0000BA070000}"/>
    <cellStyle name="▲_重点先すりあわせ票_レジメ_量管理委員会資料（06.4.4)" xfId="1533" xr:uid="{00000000-0005-0000-0000-0000BB070000}"/>
    <cellStyle name="▲_重点先すりあわせ票_レジメ_量管理委員会資料（０６年３月）" xfId="1534" xr:uid="{00000000-0005-0000-0000-0000BC070000}"/>
    <cellStyle name="▲_重点先すりあわせ票_レジメ_量管理委員会資料（０６年３月）1" xfId="1535" xr:uid="{00000000-0005-0000-0000-0000BD070000}"/>
    <cellStyle name="▲_重点先すりあわせ票_改善シート原紙(2009年度版)" xfId="1536" xr:uid="{00000000-0005-0000-0000-0000BE070000}"/>
    <cellStyle name="▲_重点先すりあわせ票_活動内容(13年振返り14年進め方）" xfId="1537" xr:uid="{00000000-0005-0000-0000-0000BF070000}"/>
    <cellStyle name="▲_重点先すりあわせ票_活動内容(13年振返り14年進め方） 2" xfId="5656" xr:uid="{00000000-0005-0000-0000-0000C0070000}"/>
    <cellStyle name="▲_重点先すりあわせ票_工場長診断ドア" xfId="1538" xr:uid="{00000000-0005-0000-0000-0000C1070000}"/>
    <cellStyle name="▲_重点先すりあわせ票_神奈川工務体制" xfId="1539" xr:uid="{00000000-0005-0000-0000-0000C2070000}"/>
    <cellStyle name="▲_重点先すりあわせ票_進捗確認フォーマット" xfId="1540" xr:uid="{00000000-0005-0000-0000-0000C3070000}"/>
    <cellStyle name="▲_重点先すりあわせ票_進捗確認フォーマット 2" xfId="5657" xr:uid="{00000000-0005-0000-0000-0000C4070000}"/>
    <cellStyle name="▲_重点先すりあわせ票_専務診断報告資料(05.03.30)xls" xfId="1541" xr:uid="{00000000-0005-0000-0000-0000C5070000}"/>
    <cellStyle name="▲_重点先すりあわせ票_専務診断報告資料（０６年３月度）" xfId="1542" xr:uid="{00000000-0005-0000-0000-0000C6070000}"/>
    <cellStyle name="▲_重点先すりあわせ票_第33回品質実践研テーマ" xfId="1543" xr:uid="{00000000-0005-0000-0000-0000C7070000}"/>
    <cellStyle name="▲_重点先すりあわせ票_第34回品質実践研テーマ" xfId="1544" xr:uid="{00000000-0005-0000-0000-0000C8070000}"/>
    <cellStyle name="▲_重点先すりあわせ票_第36回品質実践研テーマ" xfId="1545" xr:uid="{00000000-0005-0000-0000-0000C9070000}"/>
    <cellStyle name="▲_重点先すりあわせ票_第37回品質実践件テーマ（玄収扉）" xfId="1546" xr:uid="{00000000-0005-0000-0000-0000CA070000}"/>
    <cellStyle name="▲_重点先すりあわせ票_第37回品質実践研テーマ" xfId="1547" xr:uid="{00000000-0005-0000-0000-0000CB070000}"/>
    <cellStyle name="▲_重点先すりあわせ票_第38回品質実践研テーマ" xfId="1548" xr:uid="{00000000-0005-0000-0000-0000CC070000}"/>
    <cellStyle name="▲_重点先すりあわせ票_第39回品質実践研テーマ（クロ本体）" xfId="1549" xr:uid="{00000000-0005-0000-0000-0000CD070000}"/>
    <cellStyle name="▲_重点先すりあわせ票_第40回品質実践研テーマ" xfId="1550" xr:uid="{00000000-0005-0000-0000-0000CE070000}"/>
    <cellStyle name="▲_重点先すりあわせ票_第４１回品質実践研（養生）" xfId="1551" xr:uid="{00000000-0005-0000-0000-0000CF070000}"/>
    <cellStyle name="▲_重点先すりあわせ票_第41回品質実践研テーマ（玄収扉）" xfId="1552" xr:uid="{00000000-0005-0000-0000-0000D0070000}"/>
    <cellStyle name="▲_重点先すりあわせ票_標準作業組合せ票" xfId="1553" xr:uid="{00000000-0005-0000-0000-0000D1070000}"/>
    <cellStyle name="▲_重点先すりあわせ票_標準作業組合せ票 2" xfId="5658" xr:uid="{00000000-0005-0000-0000-0000D2070000}"/>
    <cellStyle name="▲_重点先すりあわせ票_品質レベル（ドア枠Ｂ）" xfId="1554" xr:uid="{00000000-0005-0000-0000-0000D3070000}"/>
    <cellStyle name="▲_重点先すりあわせ票_本部長診断会ドア" xfId="1555" xr:uid="{00000000-0005-0000-0000-0000D4070000}"/>
    <cellStyle name="▲_重点先すりあわせ票_目指す姿" xfId="1556" xr:uid="{00000000-0005-0000-0000-0000D5070000}"/>
    <cellStyle name="▲_重点先すりあわせ票_目指す姿 2" xfId="5659" xr:uid="{00000000-0005-0000-0000-0000D6070000}"/>
    <cellStyle name="▲_重点先すりあわせ票_量管理委員会資料（06.4.4)" xfId="1557" xr:uid="{00000000-0005-0000-0000-0000D7070000}"/>
    <cellStyle name="▲_重点先すりあわせ票_量管理委員会資料（０６年３月）" xfId="1558" xr:uid="{00000000-0005-0000-0000-0000D8070000}"/>
    <cellStyle name="▲_重点先すりあわせ票_量管理委員会資料（０６年３月）1" xfId="1559" xr:uid="{00000000-0005-0000-0000-0000D9070000}"/>
    <cellStyle name="▲_重点先進捗表" xfId="92" xr:uid="{00000000-0005-0000-0000-0000DA070000}"/>
    <cellStyle name="▲_重点先進捗表 2" xfId="3342" xr:uid="{00000000-0005-0000-0000-0000DB070000}"/>
    <cellStyle name="▲_重点先進捗表 2 2" xfId="3343" xr:uid="{00000000-0005-0000-0000-0000DC070000}"/>
    <cellStyle name="▲_重点先進捗表 2 2 2" xfId="3344" xr:uid="{00000000-0005-0000-0000-0000DD070000}"/>
    <cellStyle name="▲_重点先進捗表 2 2 2 2" xfId="3345" xr:uid="{00000000-0005-0000-0000-0000DE070000}"/>
    <cellStyle name="▲_重点先進捗表 2 2 3" xfId="3346" xr:uid="{00000000-0005-0000-0000-0000DF070000}"/>
    <cellStyle name="▲_重点先進捗表 2 2 3 2" xfId="3347" xr:uid="{00000000-0005-0000-0000-0000E0070000}"/>
    <cellStyle name="▲_重点先進捗表 2 2 3 2 2" xfId="3348" xr:uid="{00000000-0005-0000-0000-0000E1070000}"/>
    <cellStyle name="▲_重点先進捗表 2 2 3 3" xfId="3349" xr:uid="{00000000-0005-0000-0000-0000E2070000}"/>
    <cellStyle name="▲_重点先進捗表 2 2 4" xfId="3350" xr:uid="{00000000-0005-0000-0000-0000E3070000}"/>
    <cellStyle name="▲_重点先進捗表 2 3" xfId="3351" xr:uid="{00000000-0005-0000-0000-0000E4070000}"/>
    <cellStyle name="▲_重点先進捗表 3" xfId="3352" xr:uid="{00000000-0005-0000-0000-0000E5070000}"/>
    <cellStyle name="▲_重点先進捗表_《PL枠》12年度目指すべき姿" xfId="1560" xr:uid="{00000000-0005-0000-0000-0000E6070000}"/>
    <cellStyle name="▲_重点先進捗表_《PL枠》12年度目指すべき姿 2" xfId="5660" xr:uid="{00000000-0005-0000-0000-0000E7070000}"/>
    <cellStyle name="▲_重点先進捗表_《ベルスク２》12年度目指すべき姿" xfId="1561" xr:uid="{00000000-0005-0000-0000-0000E8070000}"/>
    <cellStyle name="▲_重点先進捗表_《ベルスク２》12年度目指すべき姿 2" xfId="5661" xr:uid="{00000000-0005-0000-0000-0000E9070000}"/>
    <cellStyle name="▲_重点先進捗表_【0907ライン別現象別比較】" xfId="1562" xr:uid="{00000000-0005-0000-0000-0000EA070000}"/>
    <cellStyle name="▲_重点先進捗表_【プレナス枠】12年度ベクトル会" xfId="1563" xr:uid="{00000000-0005-0000-0000-0000EB070000}"/>
    <cellStyle name="▲_重点先進捗表_【清水B】11年度フォローシート【品質】" xfId="1564" xr:uid="{00000000-0005-0000-0000-0000EC070000}"/>
    <cellStyle name="▲_重点先進捗表_【品質保証レベル（外観含み）】（製造課定義）xls" xfId="1565" xr:uid="{00000000-0005-0000-0000-0000ED070000}"/>
    <cellStyle name="▲_重点先進捗表_【品質保証レベル向上（まとめ）】" xfId="1566" xr:uid="{00000000-0005-0000-0000-0000EE070000}"/>
    <cellStyle name="▲_重点先進捗表_【有賀】09なし 間違い方策展開系統図 " xfId="1567" xr:uid="{00000000-0005-0000-0000-0000EF070000}"/>
    <cellStyle name="▲_重点先進捗表_★量管理資料05.4-3" xfId="1568" xr:uid="{00000000-0005-0000-0000-0000F0070000}"/>
    <cellStyle name="▲_重点先進捗表_０５年度方針実績" xfId="1569" xr:uid="{00000000-0005-0000-0000-0000F1070000}"/>
    <cellStyle name="▲_重点先進捗表_080215荷捌き点検結果" xfId="1570" xr:uid="{00000000-0005-0000-0000-0000F2070000}"/>
    <cellStyle name="▲_重点先進捗表_080416LMS新潟打合せ内容" xfId="1571" xr:uid="{00000000-0005-0000-0000-0000F3070000}"/>
    <cellStyle name="▲_重点先進捗表_0918集約率" xfId="1572" xr:uid="{00000000-0005-0000-0000-0000F4070000}"/>
    <cellStyle name="▲_重点先進捗表_110706【清水Ｂ品質保証レベル向上進捗シート】xls" xfId="1573" xr:uid="{00000000-0005-0000-0000-0000F5070000}"/>
    <cellStyle name="▲_重点先進捗表_12年度本部長診断現場報告ドア枠" xfId="1574" xr:uid="{00000000-0005-0000-0000-0000F6070000}"/>
    <cellStyle name="▲_重点先進捗表_12年度本部長診断現場報告ドア枠 2" xfId="5662" xr:uid="{00000000-0005-0000-0000-0000F7070000}"/>
    <cellStyle name="▲_重点先進捗表_35回品質実践研テーマ" xfId="1575" xr:uid="{00000000-0005-0000-0000-0000F8070000}"/>
    <cellStyle name="▲_重点先進捗表_ＢＰ説明資料" xfId="1576" xr:uid="{00000000-0005-0000-0000-0000F9070000}"/>
    <cellStyle name="▲_重点先進捗表_FA" xfId="1577" xr:uid="{00000000-0005-0000-0000-0000FA070000}"/>
    <cellStyle name="▲_重点先進捗表_FA 2" xfId="5663" xr:uid="{00000000-0005-0000-0000-0000FB070000}"/>
    <cellStyle name="▲_重点先進捗表_Ｈ改善ＳＨ" xfId="1578" xr:uid="{00000000-0005-0000-0000-0000FC070000}"/>
    <cellStyle name="▲_重点先進捗表_MQAカード" xfId="1579" xr:uid="{00000000-0005-0000-0000-0000FD070000}"/>
    <cellStyle name="▲_重点先進捗表_MQAカード 2" xfId="5664" xr:uid="{00000000-0005-0000-0000-0000FE070000}"/>
    <cellStyle name="▲_重点先進捗表_SK狙いの姿PART4" xfId="1580" xr:uid="{00000000-0005-0000-0000-0000FF070000}"/>
    <cellStyle name="▲_重点先進捗表_TOPS実践スケジュール（土浦_K" xfId="1581" xr:uid="{00000000-0005-0000-0000-000000080000}"/>
    <cellStyle name="▲_重点先進捗表_ページ1" xfId="1582" xr:uid="{00000000-0005-0000-0000-000001080000}"/>
    <cellStyle name="▲_重点先進捗表_ページ1 2" xfId="5665" xr:uid="{00000000-0005-0000-0000-000002080000}"/>
    <cellStyle name="▲_重点先進捗表_ライン改善実践治具【２０１１0524改訂版】" xfId="1583" xr:uid="{00000000-0005-0000-0000-000003080000}"/>
    <cellStyle name="▲_重点先進捗表_ライン改善実践治具【２０１１0524改訂版】 2" xfId="5666" xr:uid="{00000000-0005-0000-0000-000004080000}"/>
    <cellStyle name="▲_重点先進捗表_リシェントＴＯＰＳ" xfId="1584" xr:uid="{00000000-0005-0000-0000-000005080000}"/>
    <cellStyle name="▲_重点先進捗表_リシェントＴＯＰＳ 2" xfId="5667" xr:uid="{00000000-0005-0000-0000-000006080000}"/>
    <cellStyle name="▲_重点先進捗表_レジメ" xfId="93" xr:uid="{00000000-0005-0000-0000-000007080000}"/>
    <cellStyle name="▲_重点先進捗表_レジメ 2" xfId="3353" xr:uid="{00000000-0005-0000-0000-000008080000}"/>
    <cellStyle name="▲_重点先進捗表_レジメ 2 2" xfId="3354" xr:uid="{00000000-0005-0000-0000-000009080000}"/>
    <cellStyle name="▲_重点先進捗表_レジメ 2 2 2" xfId="3355" xr:uid="{00000000-0005-0000-0000-00000A080000}"/>
    <cellStyle name="▲_重点先進捗表_レジメ 2 2 2 2" xfId="3356" xr:uid="{00000000-0005-0000-0000-00000B080000}"/>
    <cellStyle name="▲_重点先進捗表_レジメ 2 2 3" xfId="3357" xr:uid="{00000000-0005-0000-0000-00000C080000}"/>
    <cellStyle name="▲_重点先進捗表_レジメ 2 2 3 2" xfId="3358" xr:uid="{00000000-0005-0000-0000-00000D080000}"/>
    <cellStyle name="▲_重点先進捗表_レジメ 2 2 3 2 2" xfId="3359" xr:uid="{00000000-0005-0000-0000-00000E080000}"/>
    <cellStyle name="▲_重点先進捗表_レジメ 2 2 3 3" xfId="3360" xr:uid="{00000000-0005-0000-0000-00000F080000}"/>
    <cellStyle name="▲_重点先進捗表_レジメ 2 2 4" xfId="3361" xr:uid="{00000000-0005-0000-0000-000010080000}"/>
    <cellStyle name="▲_重点先進捗表_レジメ 2 3" xfId="3362" xr:uid="{00000000-0005-0000-0000-000011080000}"/>
    <cellStyle name="▲_重点先進捗表_レジメ 3" xfId="3363" xr:uid="{00000000-0005-0000-0000-000012080000}"/>
    <cellStyle name="▲_重点先進捗表_レジメ_《PL枠》12年度目指すべき姿" xfId="1585" xr:uid="{00000000-0005-0000-0000-000013080000}"/>
    <cellStyle name="▲_重点先進捗表_レジメ_《PL枠》12年度目指すべき姿 2" xfId="5668" xr:uid="{00000000-0005-0000-0000-000014080000}"/>
    <cellStyle name="▲_重点先進捗表_レジメ_《ベルスク２》12年度目指すべき姿" xfId="1586" xr:uid="{00000000-0005-0000-0000-000015080000}"/>
    <cellStyle name="▲_重点先進捗表_レジメ_《ベルスク２》12年度目指すべき姿 2" xfId="5669" xr:uid="{00000000-0005-0000-0000-000016080000}"/>
    <cellStyle name="▲_重点先進捗表_レジメ_【0907ライン別現象別比較】" xfId="1587" xr:uid="{00000000-0005-0000-0000-000017080000}"/>
    <cellStyle name="▲_重点先進捗表_レジメ_【プレナス枠】12年度ベクトル会" xfId="1588" xr:uid="{00000000-0005-0000-0000-000018080000}"/>
    <cellStyle name="▲_重点先進捗表_レジメ_【清水B】11年度フォローシート【品質】" xfId="1589" xr:uid="{00000000-0005-0000-0000-000019080000}"/>
    <cellStyle name="▲_重点先進捗表_レジメ_【品質保証レベル（外観含み）】（製造課定義）xls" xfId="1590" xr:uid="{00000000-0005-0000-0000-00001A080000}"/>
    <cellStyle name="▲_重点先進捗表_レジメ_【品質保証レベル向上（まとめ）】" xfId="1591" xr:uid="{00000000-0005-0000-0000-00001B080000}"/>
    <cellStyle name="▲_重点先進捗表_レジメ_【有賀】09なし 間違い方策展開系統図 " xfId="1592" xr:uid="{00000000-0005-0000-0000-00001C080000}"/>
    <cellStyle name="▲_重点先進捗表_レジメ_★量管理資料05.4-3" xfId="1593" xr:uid="{00000000-0005-0000-0000-00001D080000}"/>
    <cellStyle name="▲_重点先進捗表_レジメ_０５年度方針実績" xfId="1594" xr:uid="{00000000-0005-0000-0000-00001E080000}"/>
    <cellStyle name="▲_重点先進捗表_レジメ_080215荷捌き点検結果" xfId="1595" xr:uid="{00000000-0005-0000-0000-00001F080000}"/>
    <cellStyle name="▲_重点先進捗表_レジメ_080416LMS新潟打合せ内容" xfId="1596" xr:uid="{00000000-0005-0000-0000-000020080000}"/>
    <cellStyle name="▲_重点先進捗表_レジメ_0918集約率" xfId="1597" xr:uid="{00000000-0005-0000-0000-000021080000}"/>
    <cellStyle name="▲_重点先進捗表_レジメ_110706【清水Ｂ品質保証レベル向上進捗シート】xls" xfId="1598" xr:uid="{00000000-0005-0000-0000-000022080000}"/>
    <cellStyle name="▲_重点先進捗表_レジメ_12年度本部長診断現場報告ドア枠" xfId="1599" xr:uid="{00000000-0005-0000-0000-000023080000}"/>
    <cellStyle name="▲_重点先進捗表_レジメ_12年度本部長診断現場報告ドア枠 2" xfId="5670" xr:uid="{00000000-0005-0000-0000-000024080000}"/>
    <cellStyle name="▲_重点先進捗表_レジメ_35回品質実践研テーマ" xfId="1600" xr:uid="{00000000-0005-0000-0000-000025080000}"/>
    <cellStyle name="▲_重点先進捗表_レジメ_ＢＰ説明資料" xfId="1601" xr:uid="{00000000-0005-0000-0000-000026080000}"/>
    <cellStyle name="▲_重点先進捗表_レジメ_FA" xfId="1602" xr:uid="{00000000-0005-0000-0000-000027080000}"/>
    <cellStyle name="▲_重点先進捗表_レジメ_FA 2" xfId="5671" xr:uid="{00000000-0005-0000-0000-000028080000}"/>
    <cellStyle name="▲_重点先進捗表_レジメ_Ｈ改善ＳＨ" xfId="1603" xr:uid="{00000000-0005-0000-0000-000029080000}"/>
    <cellStyle name="▲_重点先進捗表_レジメ_MQAカード" xfId="1604" xr:uid="{00000000-0005-0000-0000-00002A080000}"/>
    <cellStyle name="▲_重点先進捗表_レジメ_MQAカード 2" xfId="5672" xr:uid="{00000000-0005-0000-0000-00002B080000}"/>
    <cellStyle name="▲_重点先進捗表_レジメ_SK狙いの姿PART4" xfId="1605" xr:uid="{00000000-0005-0000-0000-00002C080000}"/>
    <cellStyle name="▲_重点先進捗表_レジメ_TOPS実践スケジュール（土浦_K" xfId="1606" xr:uid="{00000000-0005-0000-0000-00002D080000}"/>
    <cellStyle name="▲_重点先進捗表_レジメ_ページ1" xfId="1607" xr:uid="{00000000-0005-0000-0000-00002E080000}"/>
    <cellStyle name="▲_重点先進捗表_レジメ_ページ1 2" xfId="5673" xr:uid="{00000000-0005-0000-0000-00002F080000}"/>
    <cellStyle name="▲_重点先進捗表_レジメ_ライン改善実践治具【２０１１0524改訂版】" xfId="1608" xr:uid="{00000000-0005-0000-0000-000030080000}"/>
    <cellStyle name="▲_重点先進捗表_レジメ_ライン改善実践治具【２０１１0524改訂版】 2" xfId="5674" xr:uid="{00000000-0005-0000-0000-000031080000}"/>
    <cellStyle name="▲_重点先進捗表_レジメ_リシェントＴＯＰＳ" xfId="1609" xr:uid="{00000000-0005-0000-0000-000032080000}"/>
    <cellStyle name="▲_重点先進捗表_レジメ_リシェントＴＯＰＳ 2" xfId="5675" xr:uid="{00000000-0005-0000-0000-000033080000}"/>
    <cellStyle name="▲_重点先進捗表_レジメ_改善シート原紙(2009年度版)" xfId="1610" xr:uid="{00000000-0005-0000-0000-000034080000}"/>
    <cellStyle name="▲_重点先進捗表_レジメ_活動内容(13年振返り14年進め方）" xfId="1611" xr:uid="{00000000-0005-0000-0000-000035080000}"/>
    <cellStyle name="▲_重点先進捗表_レジメ_活動内容(13年振返り14年進め方） 2" xfId="5676" xr:uid="{00000000-0005-0000-0000-000036080000}"/>
    <cellStyle name="▲_重点先進捗表_レジメ_工場長診断ドア" xfId="1612" xr:uid="{00000000-0005-0000-0000-000037080000}"/>
    <cellStyle name="▲_重点先進捗表_レジメ_神奈川工務体制" xfId="1613" xr:uid="{00000000-0005-0000-0000-000038080000}"/>
    <cellStyle name="▲_重点先進捗表_レジメ_進捗確認フォーマット" xfId="1614" xr:uid="{00000000-0005-0000-0000-000039080000}"/>
    <cellStyle name="▲_重点先進捗表_レジメ_進捗確認フォーマット 2" xfId="5677" xr:uid="{00000000-0005-0000-0000-00003A080000}"/>
    <cellStyle name="▲_重点先進捗表_レジメ_専務診断報告資料(05.03.30)xls" xfId="1615" xr:uid="{00000000-0005-0000-0000-00003B080000}"/>
    <cellStyle name="▲_重点先進捗表_レジメ_専務診断報告資料（０６年３月度）" xfId="1616" xr:uid="{00000000-0005-0000-0000-00003C080000}"/>
    <cellStyle name="▲_重点先進捗表_レジメ_第33回品質実践研テーマ" xfId="1617" xr:uid="{00000000-0005-0000-0000-00003D080000}"/>
    <cellStyle name="▲_重点先進捗表_レジメ_第34回品質実践研テーマ" xfId="1618" xr:uid="{00000000-0005-0000-0000-00003E080000}"/>
    <cellStyle name="▲_重点先進捗表_レジメ_第36回品質実践研テーマ" xfId="1619" xr:uid="{00000000-0005-0000-0000-00003F080000}"/>
    <cellStyle name="▲_重点先進捗表_レジメ_第37回品質実践件テーマ（玄収扉）" xfId="1620" xr:uid="{00000000-0005-0000-0000-000040080000}"/>
    <cellStyle name="▲_重点先進捗表_レジメ_第37回品質実践研テーマ" xfId="1621" xr:uid="{00000000-0005-0000-0000-000041080000}"/>
    <cellStyle name="▲_重点先進捗表_レジメ_第38回品質実践研テーマ" xfId="1622" xr:uid="{00000000-0005-0000-0000-000042080000}"/>
    <cellStyle name="▲_重点先進捗表_レジメ_第39回品質実践研テーマ（クロ本体）" xfId="1623" xr:uid="{00000000-0005-0000-0000-000043080000}"/>
    <cellStyle name="▲_重点先進捗表_レジメ_第40回品質実践研テーマ" xfId="1624" xr:uid="{00000000-0005-0000-0000-000044080000}"/>
    <cellStyle name="▲_重点先進捗表_レジメ_第４１回品質実践研（養生）" xfId="1625" xr:uid="{00000000-0005-0000-0000-000045080000}"/>
    <cellStyle name="▲_重点先進捗表_レジメ_第41回品質実践研テーマ（玄収扉）" xfId="1626" xr:uid="{00000000-0005-0000-0000-000046080000}"/>
    <cellStyle name="▲_重点先進捗表_レジメ_標準作業組合せ票" xfId="1627" xr:uid="{00000000-0005-0000-0000-000047080000}"/>
    <cellStyle name="▲_重点先進捗表_レジメ_標準作業組合せ票 2" xfId="5678" xr:uid="{00000000-0005-0000-0000-000048080000}"/>
    <cellStyle name="▲_重点先進捗表_レジメ_品質レベル（ドア枠Ｂ）" xfId="1628" xr:uid="{00000000-0005-0000-0000-000049080000}"/>
    <cellStyle name="▲_重点先進捗表_レジメ_本部長診断会ドア" xfId="1629" xr:uid="{00000000-0005-0000-0000-00004A080000}"/>
    <cellStyle name="▲_重点先進捗表_レジメ_目指す姿" xfId="1630" xr:uid="{00000000-0005-0000-0000-00004B080000}"/>
    <cellStyle name="▲_重点先進捗表_レジメ_目指す姿 2" xfId="5679" xr:uid="{00000000-0005-0000-0000-00004C080000}"/>
    <cellStyle name="▲_重点先進捗表_レジメ_量管理委員会資料（06.4.4)" xfId="1631" xr:uid="{00000000-0005-0000-0000-00004D080000}"/>
    <cellStyle name="▲_重点先進捗表_レジメ_量管理委員会資料（０６年３月）" xfId="1632" xr:uid="{00000000-0005-0000-0000-00004E080000}"/>
    <cellStyle name="▲_重点先進捗表_レジメ_量管理委員会資料（０６年３月）1" xfId="1633" xr:uid="{00000000-0005-0000-0000-00004F080000}"/>
    <cellStyle name="▲_重点先進捗表_改善シート原紙(2009年度版)" xfId="1634" xr:uid="{00000000-0005-0000-0000-000050080000}"/>
    <cellStyle name="▲_重点先進捗表_活動内容(13年振返り14年進め方）" xfId="1635" xr:uid="{00000000-0005-0000-0000-000051080000}"/>
    <cellStyle name="▲_重点先進捗表_活動内容(13年振返り14年進め方） 2" xfId="5680" xr:uid="{00000000-0005-0000-0000-000052080000}"/>
    <cellStyle name="▲_重点先進捗表_工場長診断ドア" xfId="1636" xr:uid="{00000000-0005-0000-0000-000053080000}"/>
    <cellStyle name="▲_重点先進捗表_神奈川工務体制" xfId="1637" xr:uid="{00000000-0005-0000-0000-000054080000}"/>
    <cellStyle name="▲_重点先進捗表_進捗確認フォーマット" xfId="1638" xr:uid="{00000000-0005-0000-0000-000055080000}"/>
    <cellStyle name="▲_重点先進捗表_進捗確認フォーマット 2" xfId="5681" xr:uid="{00000000-0005-0000-0000-000056080000}"/>
    <cellStyle name="▲_重点先進捗表_専務診断報告資料(05.03.30)xls" xfId="1639" xr:uid="{00000000-0005-0000-0000-000057080000}"/>
    <cellStyle name="▲_重点先進捗表_専務診断報告資料（０６年３月度）" xfId="1640" xr:uid="{00000000-0005-0000-0000-000058080000}"/>
    <cellStyle name="▲_重点先進捗表_第33回品質実践研テーマ" xfId="1641" xr:uid="{00000000-0005-0000-0000-000059080000}"/>
    <cellStyle name="▲_重点先進捗表_第34回品質実践研テーマ" xfId="1642" xr:uid="{00000000-0005-0000-0000-00005A080000}"/>
    <cellStyle name="▲_重点先進捗表_第36回品質実践研テーマ" xfId="1643" xr:uid="{00000000-0005-0000-0000-00005B080000}"/>
    <cellStyle name="▲_重点先進捗表_第37回品質実践件テーマ（玄収扉）" xfId="1644" xr:uid="{00000000-0005-0000-0000-00005C080000}"/>
    <cellStyle name="▲_重点先進捗表_第37回品質実践研テーマ" xfId="1645" xr:uid="{00000000-0005-0000-0000-00005D080000}"/>
    <cellStyle name="▲_重点先進捗表_第38回品質実践研テーマ" xfId="1646" xr:uid="{00000000-0005-0000-0000-00005E080000}"/>
    <cellStyle name="▲_重点先進捗表_第39回品質実践研テーマ（クロ本体）" xfId="1647" xr:uid="{00000000-0005-0000-0000-00005F080000}"/>
    <cellStyle name="▲_重点先進捗表_第40回品質実践研テーマ" xfId="1648" xr:uid="{00000000-0005-0000-0000-000060080000}"/>
    <cellStyle name="▲_重点先進捗表_第４１回品質実践研（養生）" xfId="1649" xr:uid="{00000000-0005-0000-0000-000061080000}"/>
    <cellStyle name="▲_重点先進捗表_第41回品質実践研テーマ（玄収扉）" xfId="1650" xr:uid="{00000000-0005-0000-0000-000062080000}"/>
    <cellStyle name="▲_重点先進捗表_標準作業組合せ票" xfId="1651" xr:uid="{00000000-0005-0000-0000-000063080000}"/>
    <cellStyle name="▲_重点先進捗表_標準作業組合せ票 2" xfId="5682" xr:uid="{00000000-0005-0000-0000-000064080000}"/>
    <cellStyle name="▲_重点先進捗表_品質レベル（ドア枠Ｂ）" xfId="1652" xr:uid="{00000000-0005-0000-0000-000065080000}"/>
    <cellStyle name="▲_重点先進捗表_本部長診断会ドア" xfId="1653" xr:uid="{00000000-0005-0000-0000-000066080000}"/>
    <cellStyle name="▲_重点先進捗表_目指す姿" xfId="1654" xr:uid="{00000000-0005-0000-0000-000067080000}"/>
    <cellStyle name="▲_重点先進捗表_目指す姿 2" xfId="5683" xr:uid="{00000000-0005-0000-0000-000068080000}"/>
    <cellStyle name="▲_重点先進捗表_量管理委員会資料（06.4.4)" xfId="1655" xr:uid="{00000000-0005-0000-0000-000069080000}"/>
    <cellStyle name="▲_重点先進捗表_量管理委員会資料（０６年３月）" xfId="1656" xr:uid="{00000000-0005-0000-0000-00006A080000}"/>
    <cellStyle name="▲_重点先進捗表_量管理委員会資料（０６年３月）1" xfId="1657" xr:uid="{00000000-0005-0000-0000-00006B080000}"/>
    <cellStyle name="▲_出張報告(0109～）" xfId="3364" xr:uid="{00000000-0005-0000-0000-00006C080000}"/>
    <cellStyle name="▲_出張報告(0109～） 2" xfId="3365" xr:uid="{00000000-0005-0000-0000-00006D080000}"/>
    <cellStyle name="▲_出張報告(0109～） 2 2" xfId="3366" xr:uid="{00000000-0005-0000-0000-00006E080000}"/>
    <cellStyle name="▲_出張報告(0109～） 2 2 2" xfId="3367" xr:uid="{00000000-0005-0000-0000-00006F080000}"/>
    <cellStyle name="▲_出張報告(0109～） 2 2 2 2" xfId="3368" xr:uid="{00000000-0005-0000-0000-000070080000}"/>
    <cellStyle name="▲_出張報告(0109～） 2 2 3" xfId="3369" xr:uid="{00000000-0005-0000-0000-000071080000}"/>
    <cellStyle name="▲_出張報告(0109～） 2 2 3 2" xfId="3370" xr:uid="{00000000-0005-0000-0000-000072080000}"/>
    <cellStyle name="▲_出張報告(0109～） 2 2 3 2 2" xfId="3371" xr:uid="{00000000-0005-0000-0000-000073080000}"/>
    <cellStyle name="▲_出張報告(0109～） 2 2 3 3" xfId="3372" xr:uid="{00000000-0005-0000-0000-000074080000}"/>
    <cellStyle name="▲_出張報告(0109～） 2 2 4" xfId="3373" xr:uid="{00000000-0005-0000-0000-000075080000}"/>
    <cellStyle name="▲_出張報告(0109～） 2 3" xfId="3374" xr:uid="{00000000-0005-0000-0000-000076080000}"/>
    <cellStyle name="▲_出張報告(0109～） 3" xfId="3375" xr:uid="{00000000-0005-0000-0000-000077080000}"/>
    <cellStyle name="▲_所長会議" xfId="1658" xr:uid="{00000000-0005-0000-0000-000078080000}"/>
    <cellStyle name="▲_商品コード体系早見表" xfId="3376" xr:uid="{00000000-0005-0000-0000-000079080000}"/>
    <cellStyle name="▲_商品コード体系早見表 2" xfId="3377" xr:uid="{00000000-0005-0000-0000-00007A080000}"/>
    <cellStyle name="▲_商品コード体系早見表 2 2" xfId="3378" xr:uid="{00000000-0005-0000-0000-00007B080000}"/>
    <cellStyle name="▲_商品コード体系早見表 2 2 2" xfId="3379" xr:uid="{00000000-0005-0000-0000-00007C080000}"/>
    <cellStyle name="▲_商品コード体系早見表 2 2 2 2" xfId="3380" xr:uid="{00000000-0005-0000-0000-00007D080000}"/>
    <cellStyle name="▲_商品コード体系早見表 2 2 3" xfId="3381" xr:uid="{00000000-0005-0000-0000-00007E080000}"/>
    <cellStyle name="▲_商品コード体系早見表 2 2 3 2" xfId="3382" xr:uid="{00000000-0005-0000-0000-00007F080000}"/>
    <cellStyle name="▲_商品コード体系早見表 2 2 3 2 2" xfId="3383" xr:uid="{00000000-0005-0000-0000-000080080000}"/>
    <cellStyle name="▲_商品コード体系早見表 2 2 3 3" xfId="3384" xr:uid="{00000000-0005-0000-0000-000081080000}"/>
    <cellStyle name="▲_商品コード体系早見表 2 2 4" xfId="3385" xr:uid="{00000000-0005-0000-0000-000082080000}"/>
    <cellStyle name="▲_商品コード体系早見表 2 3" xfId="3386" xr:uid="{00000000-0005-0000-0000-000083080000}"/>
    <cellStyle name="▲_商品コード体系早見表 3" xfId="3387" xr:uid="{00000000-0005-0000-0000-000084080000}"/>
    <cellStyle name="▲_松安班 ラインレイアウト" xfId="1659" xr:uid="{00000000-0005-0000-0000-000085080000}"/>
    <cellStyle name="▲_松安班 標準作業票" xfId="1660" xr:uid="{00000000-0005-0000-0000-000086080000}"/>
    <cellStyle name="▲_新ＬＬ報告" xfId="1661" xr:uid="{00000000-0005-0000-0000-000087080000}"/>
    <cellStyle name="▲_新ＬＬ報告 2" xfId="3388" xr:uid="{00000000-0005-0000-0000-000088080000}"/>
    <cellStyle name="▲_新ＬＬ報告0304" xfId="94" xr:uid="{00000000-0005-0000-0000-000089080000}"/>
    <cellStyle name="▲_新ＬＬ報告0304 2" xfId="3389" xr:uid="{00000000-0005-0000-0000-00008A080000}"/>
    <cellStyle name="▲_新ＬＬ報告0304_(SR海外)_工程台帳" xfId="1662" xr:uid="{00000000-0005-0000-0000-00008B080000}"/>
    <cellStyle name="▲_新ＬＬ報告0304_(SR海外)_工程台帳 2" xfId="3390" xr:uid="{00000000-0005-0000-0000-00008C080000}"/>
    <cellStyle name="▲_新ＬＬ報告0304_《PL枠》12年度目指すべき姿" xfId="1663" xr:uid="{00000000-0005-0000-0000-00008D080000}"/>
    <cellStyle name="▲_新ＬＬ報告0304_《PL枠》12年度目指すべき姿 2" xfId="3391" xr:uid="{00000000-0005-0000-0000-00008E080000}"/>
    <cellStyle name="▲_新ＬＬ報告0304_《PL枠》12年度目指すべき姿_目指す姿フォーマット" xfId="1664" xr:uid="{00000000-0005-0000-0000-00008F080000}"/>
    <cellStyle name="▲_新ＬＬ報告0304_《PL枠》12年度目指すべき姿_目指す姿フォーマット 2" xfId="3392" xr:uid="{00000000-0005-0000-0000-000090080000}"/>
    <cellStyle name="▲_新ＬＬ報告0304_《ベルスク２》12年度目指すべき姿" xfId="1665" xr:uid="{00000000-0005-0000-0000-000091080000}"/>
    <cellStyle name="▲_新ＬＬ報告0304_《ベルスク２》12年度目指すべき姿 2" xfId="3393" xr:uid="{00000000-0005-0000-0000-000092080000}"/>
    <cellStyle name="▲_新ＬＬ報告0304_《ベルスク２》12年度目指すべき姿_目指す姿フォーマット" xfId="1666" xr:uid="{00000000-0005-0000-0000-000093080000}"/>
    <cellStyle name="▲_新ＬＬ報告0304_《ベルスク２》12年度目指すべき姿_目指す姿フォーマット 2" xfId="3394" xr:uid="{00000000-0005-0000-0000-000094080000}"/>
    <cellStyle name="▲_新ＬＬ報告0304_【0907ライン別現象別比較】" xfId="1667" xr:uid="{00000000-0005-0000-0000-000095080000}"/>
    <cellStyle name="▲_新ＬＬ報告0304_【0907ライン別現象別比較】 2" xfId="3395" xr:uid="{00000000-0005-0000-0000-000096080000}"/>
    <cellStyle name="▲_新ＬＬ報告0304_【清水B】11年度フォローシート【品質】" xfId="1668" xr:uid="{00000000-0005-0000-0000-000097080000}"/>
    <cellStyle name="▲_新ＬＬ報告0304_【清水B】11年度フォローシート【品質】 2" xfId="3396" xr:uid="{00000000-0005-0000-0000-000098080000}"/>
    <cellStyle name="▲_新ＬＬ報告0304_【品質保証レベル（外観含み）】（製造課定義）xls" xfId="1669" xr:uid="{00000000-0005-0000-0000-000099080000}"/>
    <cellStyle name="▲_新ＬＬ報告0304_【品質保証レベル（外観含み）】（製造課定義）xls 2" xfId="3397" xr:uid="{00000000-0005-0000-0000-00009A080000}"/>
    <cellStyle name="▲_新ＬＬ報告0304_【品質保証レベル向上（まとめ）】" xfId="1670" xr:uid="{00000000-0005-0000-0000-00009B080000}"/>
    <cellStyle name="▲_新ＬＬ報告0304_【品質保証レベル向上（まとめ）】 2" xfId="3398" xr:uid="{00000000-0005-0000-0000-00009C080000}"/>
    <cellStyle name="▲_新ＬＬ報告0304_【有賀】09なし 間違い方策展開系統図 " xfId="1671" xr:uid="{00000000-0005-0000-0000-00009D080000}"/>
    <cellStyle name="▲_新ＬＬ報告0304_【有賀】09なし 間違い方策展開系統図  2" xfId="3399" xr:uid="{00000000-0005-0000-0000-00009E080000}"/>
    <cellStyle name="▲_新ＬＬ報告0304_■【12ライン別】製造原価率推移グラフ" xfId="1672" xr:uid="{00000000-0005-0000-0000-00009F080000}"/>
    <cellStyle name="▲_新ＬＬ報告0304_■【12ライン別】製造原価率推移グラフ 2" xfId="3400" xr:uid="{00000000-0005-0000-0000-0000A0080000}"/>
    <cellStyle name="▲_新ＬＬ報告0304_０５年度方針実績" xfId="1673" xr:uid="{00000000-0005-0000-0000-0000A1080000}"/>
    <cellStyle name="▲_新ＬＬ報告0304_０５年度方針実績 2" xfId="3401" xr:uid="{00000000-0005-0000-0000-0000A2080000}"/>
    <cellStyle name="▲_新ＬＬ報告0304_110706【清水Ｂ品質保証レベル向上進捗シート】xls" xfId="1674" xr:uid="{00000000-0005-0000-0000-0000A3080000}"/>
    <cellStyle name="▲_新ＬＬ報告0304_110706【清水Ｂ品質保証レベル向上進捗シート】xls 2" xfId="3402" xr:uid="{00000000-0005-0000-0000-0000A4080000}"/>
    <cellStyle name="▲_新ＬＬ報告0304_12年度本部長診断現場報告ドア枠" xfId="1675" xr:uid="{00000000-0005-0000-0000-0000A5080000}"/>
    <cellStyle name="▲_新ＬＬ報告0304_12年度本部長診断現場報告ドア枠 2" xfId="3403" xr:uid="{00000000-0005-0000-0000-0000A6080000}"/>
    <cellStyle name="▲_新ＬＬ報告0304_12年度本部長診断現場報告ドア枠_目指す姿フォーマット" xfId="1676" xr:uid="{00000000-0005-0000-0000-0000A7080000}"/>
    <cellStyle name="▲_新ＬＬ報告0304_12年度本部長診断現場報告ドア枠_目指す姿フォーマット 2" xfId="3404" xr:uid="{00000000-0005-0000-0000-0000A8080000}"/>
    <cellStyle name="▲_新ＬＬ報告0304_13年度上期生産性計画" xfId="1677" xr:uid="{00000000-0005-0000-0000-0000A9080000}"/>
    <cellStyle name="▲_新ＬＬ報告0304_13年度上期生産性計画 2" xfId="3405" xr:uid="{00000000-0005-0000-0000-0000AA080000}"/>
    <cellStyle name="▲_新ＬＬ報告0304_13年度反省書(SR係)" xfId="1678" xr:uid="{00000000-0005-0000-0000-0000AB080000}"/>
    <cellStyle name="▲_新ＬＬ報告0304_13年度反省書(SR係) 2" xfId="3406" xr:uid="{00000000-0005-0000-0000-0000AC080000}"/>
    <cellStyle name="▲_新ＬＬ報告0304_2012年度 保全担当者資料" xfId="1679" xr:uid="{00000000-0005-0000-0000-0000AD080000}"/>
    <cellStyle name="▲_新ＬＬ報告0304_2012年度 保全担当者資料 2" xfId="3407" xr:uid="{00000000-0005-0000-0000-0000AE080000}"/>
    <cellStyle name="▲_新ＬＬ報告0304_35回品質実践研テーマ" xfId="1680" xr:uid="{00000000-0005-0000-0000-0000AF080000}"/>
    <cellStyle name="▲_新ＬＬ報告0304_35回品質実践研テーマ 2" xfId="3408" xr:uid="{00000000-0005-0000-0000-0000B0080000}"/>
    <cellStyle name="▲_新ＬＬ報告0304_Book1" xfId="1681" xr:uid="{00000000-0005-0000-0000-0000B1080000}"/>
    <cellStyle name="▲_新ＬＬ報告0304_Book1 2" xfId="3409" xr:uid="{00000000-0005-0000-0000-0000B2080000}"/>
    <cellStyle name="▲_新ＬＬ報告0304_Book1_目指す姿フォーマット" xfId="1682" xr:uid="{00000000-0005-0000-0000-0000B3080000}"/>
    <cellStyle name="▲_新ＬＬ報告0304_Book1_目指す姿フォーマット 2" xfId="3410" xr:uid="{00000000-0005-0000-0000-0000B4080000}"/>
    <cellStyle name="▲_新ＬＬ報告0304_ＢＰ説明資料" xfId="1683" xr:uid="{00000000-0005-0000-0000-0000B5080000}"/>
    <cellStyle name="▲_新ＬＬ報告0304_ＢＰ説明資料 2" xfId="3411" xr:uid="{00000000-0005-0000-0000-0000B6080000}"/>
    <cellStyle name="▲_新ＬＬ報告0304_FA" xfId="1684" xr:uid="{00000000-0005-0000-0000-0000B7080000}"/>
    <cellStyle name="▲_新ＬＬ報告0304_FA 2" xfId="3412" xr:uid="{00000000-0005-0000-0000-0000B8080000}"/>
    <cellStyle name="▲_新ＬＬ報告0304_Ｈ改善ＳＨ" xfId="1685" xr:uid="{00000000-0005-0000-0000-0000B9080000}"/>
    <cellStyle name="▲_新ＬＬ報告0304_Ｈ改善ＳＨ 2" xfId="3413" xr:uid="{00000000-0005-0000-0000-0000BA080000}"/>
    <cellStyle name="▲_新ＬＬ報告0304_TOPS実践スケジュール（土浦_K" xfId="1686" xr:uid="{00000000-0005-0000-0000-0000BB080000}"/>
    <cellStyle name="▲_新ＬＬ報告0304_TOPS実践スケジュール（土浦_K 2" xfId="3414" xr:uid="{00000000-0005-0000-0000-0000BC080000}"/>
    <cellStyle name="▲_新ＬＬ報告0304_ページ1" xfId="1687" xr:uid="{00000000-0005-0000-0000-0000BD080000}"/>
    <cellStyle name="▲_新ＬＬ報告0304_ページ1 2" xfId="3415" xr:uid="{00000000-0005-0000-0000-0000BE080000}"/>
    <cellStyle name="▲_新ＬＬ報告0304_リシェントＴＯＰＳ" xfId="1688" xr:uid="{00000000-0005-0000-0000-0000BF080000}"/>
    <cellStyle name="▲_新ＬＬ報告0304_リシェントＴＯＰＳ 2" xfId="3416" xr:uid="{00000000-0005-0000-0000-0000C0080000}"/>
    <cellStyle name="▲_新ＬＬ報告0304_リシェントＴＯＰＳ_目指す姿フォーマット" xfId="1689" xr:uid="{00000000-0005-0000-0000-0000C1080000}"/>
    <cellStyle name="▲_新ＬＬ報告0304_リシェントＴＯＰＳ_目指す姿フォーマット 2" xfId="3417" xr:uid="{00000000-0005-0000-0000-0000C2080000}"/>
    <cellStyle name="▲_新ＬＬ報告0304_活動内容(13年振返り14年進め方）" xfId="1690" xr:uid="{00000000-0005-0000-0000-0000C3080000}"/>
    <cellStyle name="▲_新ＬＬ報告0304_活動内容(13年振返り14年進め方） 2" xfId="3418" xr:uid="{00000000-0005-0000-0000-0000C4080000}"/>
    <cellStyle name="▲_新ＬＬ報告0304_管轄ﾗｲﾝ構成1" xfId="1691" xr:uid="{00000000-0005-0000-0000-0000C5080000}"/>
    <cellStyle name="▲_新ＬＬ報告0304_管轄ﾗｲﾝ構成1 2" xfId="3419" xr:uid="{00000000-0005-0000-0000-0000C6080000}"/>
    <cellStyle name="▲_新ＬＬ報告0304_工場長診断ドア" xfId="1692" xr:uid="{00000000-0005-0000-0000-0000C7080000}"/>
    <cellStyle name="▲_新ＬＬ報告0304_工場長診断ドア 2" xfId="3420" xr:uid="{00000000-0005-0000-0000-0000C8080000}"/>
    <cellStyle name="▲_新ＬＬ報告0304_神奈川工務体制" xfId="1693" xr:uid="{00000000-0005-0000-0000-0000C9080000}"/>
    <cellStyle name="▲_新ＬＬ報告0304_神奈川工務体制 2" xfId="3421" xr:uid="{00000000-0005-0000-0000-0000CA080000}"/>
    <cellStyle name="▲_新ＬＬ報告0304_設技12-004" xfId="1694" xr:uid="{00000000-0005-0000-0000-0000CB080000}"/>
    <cellStyle name="▲_新ＬＬ報告0304_設技12-004 2" xfId="3422" xr:uid="{00000000-0005-0000-0000-0000CC080000}"/>
    <cellStyle name="▲_新ＬＬ報告0304_専務診断報告資料(05.03.30)xls" xfId="1695" xr:uid="{00000000-0005-0000-0000-0000CD080000}"/>
    <cellStyle name="▲_新ＬＬ報告0304_専務診断報告資料(05.03.30)xls 2" xfId="3423" xr:uid="{00000000-0005-0000-0000-0000CE080000}"/>
    <cellStyle name="▲_新ＬＬ報告0304_専務診断報告資料（０６年３月度）" xfId="1696" xr:uid="{00000000-0005-0000-0000-0000CF080000}"/>
    <cellStyle name="▲_新ＬＬ報告0304_専務診断報告資料（０６年３月度） 2" xfId="3424" xr:uid="{00000000-0005-0000-0000-0000D0080000}"/>
    <cellStyle name="▲_新ＬＬ報告0304_第33回品質実践研テーマ" xfId="1697" xr:uid="{00000000-0005-0000-0000-0000D1080000}"/>
    <cellStyle name="▲_新ＬＬ報告0304_第33回品質実践研テーマ 2" xfId="3425" xr:uid="{00000000-0005-0000-0000-0000D2080000}"/>
    <cellStyle name="▲_新ＬＬ報告0304_第34回品質実践研テーマ" xfId="1698" xr:uid="{00000000-0005-0000-0000-0000D3080000}"/>
    <cellStyle name="▲_新ＬＬ報告0304_第34回品質実践研テーマ 2" xfId="3426" xr:uid="{00000000-0005-0000-0000-0000D4080000}"/>
    <cellStyle name="▲_新ＬＬ報告0304_第36回品質実践研テーマ" xfId="1699" xr:uid="{00000000-0005-0000-0000-0000D5080000}"/>
    <cellStyle name="▲_新ＬＬ報告0304_第36回品質実践研テーマ 2" xfId="3427" xr:uid="{00000000-0005-0000-0000-0000D6080000}"/>
    <cellStyle name="▲_新ＬＬ報告0304_第37回品質実践件テーマ（玄収扉）" xfId="1700" xr:uid="{00000000-0005-0000-0000-0000D7080000}"/>
    <cellStyle name="▲_新ＬＬ報告0304_第37回品質実践件テーマ（玄収扉） 2" xfId="3428" xr:uid="{00000000-0005-0000-0000-0000D8080000}"/>
    <cellStyle name="▲_新ＬＬ報告0304_第37回品質実践研テーマ" xfId="1701" xr:uid="{00000000-0005-0000-0000-0000D9080000}"/>
    <cellStyle name="▲_新ＬＬ報告0304_第37回品質実践研テーマ 2" xfId="3429" xr:uid="{00000000-0005-0000-0000-0000DA080000}"/>
    <cellStyle name="▲_新ＬＬ報告0304_第38回品質実践研テーマ" xfId="1702" xr:uid="{00000000-0005-0000-0000-0000DB080000}"/>
    <cellStyle name="▲_新ＬＬ報告0304_第38回品質実践研テーマ 2" xfId="3430" xr:uid="{00000000-0005-0000-0000-0000DC080000}"/>
    <cellStyle name="▲_新ＬＬ報告0304_第39回品質実践研テーマ（クロ本体）" xfId="1703" xr:uid="{00000000-0005-0000-0000-0000DD080000}"/>
    <cellStyle name="▲_新ＬＬ報告0304_第39回品質実践研テーマ（クロ本体） 2" xfId="3431" xr:uid="{00000000-0005-0000-0000-0000DE080000}"/>
    <cellStyle name="▲_新ＬＬ報告0304_第40回品質実践研テーマ" xfId="1704" xr:uid="{00000000-0005-0000-0000-0000DF080000}"/>
    <cellStyle name="▲_新ＬＬ報告0304_第40回品質実践研テーマ 2" xfId="3432" xr:uid="{00000000-0005-0000-0000-0000E0080000}"/>
    <cellStyle name="▲_新ＬＬ報告0304_第４１回品質実践研（養生）" xfId="1705" xr:uid="{00000000-0005-0000-0000-0000E1080000}"/>
    <cellStyle name="▲_新ＬＬ報告0304_第４１回品質実践研（養生） 2" xfId="3433" xr:uid="{00000000-0005-0000-0000-0000E2080000}"/>
    <cellStyle name="▲_新ＬＬ報告0304_第41回品質実践研テーマ（玄収扉）" xfId="1706" xr:uid="{00000000-0005-0000-0000-0000E3080000}"/>
    <cellStyle name="▲_新ＬＬ報告0304_第41回品質実践研テーマ（玄収扉） 2" xfId="3434" xr:uid="{00000000-0005-0000-0000-0000E4080000}"/>
    <cellStyle name="▲_新ＬＬ報告0304_品質レベル（ドア枠Ｂ）" xfId="1707" xr:uid="{00000000-0005-0000-0000-0000E5080000}"/>
    <cellStyle name="▲_新ＬＬ報告0304_品質レベル（ドア枠Ｂ） 2" xfId="3435" xr:uid="{00000000-0005-0000-0000-0000E6080000}"/>
    <cellStyle name="▲_新ＬＬ報告0304_本部長診断会ドア" xfId="1708" xr:uid="{00000000-0005-0000-0000-0000E7080000}"/>
    <cellStyle name="▲_新ＬＬ報告0304_本部長診断会ドア 2" xfId="3436" xr:uid="{00000000-0005-0000-0000-0000E8080000}"/>
    <cellStyle name="▲_新ＬＬ報告0306" xfId="95" xr:uid="{00000000-0005-0000-0000-0000E9080000}"/>
    <cellStyle name="▲_新ＬＬ報告0306 2" xfId="3437" xr:uid="{00000000-0005-0000-0000-0000EA080000}"/>
    <cellStyle name="▲_新ＬＬ報告0306_(SR海外)_工程台帳" xfId="1709" xr:uid="{00000000-0005-0000-0000-0000EB080000}"/>
    <cellStyle name="▲_新ＬＬ報告0306_(SR海外)_工程台帳 2" xfId="3438" xr:uid="{00000000-0005-0000-0000-0000EC080000}"/>
    <cellStyle name="▲_新ＬＬ報告0306_《PL枠》12年度目指すべき姿" xfId="1710" xr:uid="{00000000-0005-0000-0000-0000ED080000}"/>
    <cellStyle name="▲_新ＬＬ報告0306_《PL枠》12年度目指すべき姿 2" xfId="3439" xr:uid="{00000000-0005-0000-0000-0000EE080000}"/>
    <cellStyle name="▲_新ＬＬ報告0306_《PL枠》12年度目指すべき姿_目指す姿フォーマット" xfId="1711" xr:uid="{00000000-0005-0000-0000-0000EF080000}"/>
    <cellStyle name="▲_新ＬＬ報告0306_《PL枠》12年度目指すべき姿_目指す姿フォーマット 2" xfId="3440" xr:uid="{00000000-0005-0000-0000-0000F0080000}"/>
    <cellStyle name="▲_新ＬＬ報告0306_《ベルスク２》12年度目指すべき姿" xfId="1712" xr:uid="{00000000-0005-0000-0000-0000F1080000}"/>
    <cellStyle name="▲_新ＬＬ報告0306_《ベルスク２》12年度目指すべき姿 2" xfId="3441" xr:uid="{00000000-0005-0000-0000-0000F2080000}"/>
    <cellStyle name="▲_新ＬＬ報告0306_《ベルスク２》12年度目指すべき姿_目指す姿フォーマット" xfId="1713" xr:uid="{00000000-0005-0000-0000-0000F3080000}"/>
    <cellStyle name="▲_新ＬＬ報告0306_《ベルスク２》12年度目指すべき姿_目指す姿フォーマット 2" xfId="3442" xr:uid="{00000000-0005-0000-0000-0000F4080000}"/>
    <cellStyle name="▲_新ＬＬ報告0306_【0907ライン別現象別比較】" xfId="1714" xr:uid="{00000000-0005-0000-0000-0000F5080000}"/>
    <cellStyle name="▲_新ＬＬ報告0306_【0907ライン別現象別比較】 2" xfId="3443" xr:uid="{00000000-0005-0000-0000-0000F6080000}"/>
    <cellStyle name="▲_新ＬＬ報告0306_【清水B】11年度フォローシート【品質】" xfId="1715" xr:uid="{00000000-0005-0000-0000-0000F7080000}"/>
    <cellStyle name="▲_新ＬＬ報告0306_【清水B】11年度フォローシート【品質】 2" xfId="3444" xr:uid="{00000000-0005-0000-0000-0000F8080000}"/>
    <cellStyle name="▲_新ＬＬ報告0306_【品質保証レベル（外観含み）】（製造課定義）xls" xfId="1716" xr:uid="{00000000-0005-0000-0000-0000F9080000}"/>
    <cellStyle name="▲_新ＬＬ報告0306_【品質保証レベル（外観含み）】（製造課定義）xls 2" xfId="3445" xr:uid="{00000000-0005-0000-0000-0000FA080000}"/>
    <cellStyle name="▲_新ＬＬ報告0306_【品質保証レベル向上（まとめ）】" xfId="1717" xr:uid="{00000000-0005-0000-0000-0000FB080000}"/>
    <cellStyle name="▲_新ＬＬ報告0306_【品質保証レベル向上（まとめ）】 2" xfId="3446" xr:uid="{00000000-0005-0000-0000-0000FC080000}"/>
    <cellStyle name="▲_新ＬＬ報告0306_【有賀】09なし 間違い方策展開系統図 " xfId="1718" xr:uid="{00000000-0005-0000-0000-0000FD080000}"/>
    <cellStyle name="▲_新ＬＬ報告0306_【有賀】09なし 間違い方策展開系統図  2" xfId="3447" xr:uid="{00000000-0005-0000-0000-0000FE080000}"/>
    <cellStyle name="▲_新ＬＬ報告0306_■【12ライン別】製造原価率推移グラフ" xfId="1719" xr:uid="{00000000-0005-0000-0000-0000FF080000}"/>
    <cellStyle name="▲_新ＬＬ報告0306_■【12ライン別】製造原価率推移グラフ 2" xfId="3448" xr:uid="{00000000-0005-0000-0000-000000090000}"/>
    <cellStyle name="▲_新ＬＬ報告0306_０５年度方針実績" xfId="1720" xr:uid="{00000000-0005-0000-0000-000001090000}"/>
    <cellStyle name="▲_新ＬＬ報告0306_０５年度方針実績 2" xfId="3449" xr:uid="{00000000-0005-0000-0000-000002090000}"/>
    <cellStyle name="▲_新ＬＬ報告0306_110706【清水Ｂ品質保証レベル向上進捗シート】xls" xfId="1721" xr:uid="{00000000-0005-0000-0000-000003090000}"/>
    <cellStyle name="▲_新ＬＬ報告0306_110706【清水Ｂ品質保証レベル向上進捗シート】xls 2" xfId="3450" xr:uid="{00000000-0005-0000-0000-000004090000}"/>
    <cellStyle name="▲_新ＬＬ報告0306_12年度本部長診断現場報告ドア枠" xfId="1722" xr:uid="{00000000-0005-0000-0000-000005090000}"/>
    <cellStyle name="▲_新ＬＬ報告0306_12年度本部長診断現場報告ドア枠 2" xfId="3451" xr:uid="{00000000-0005-0000-0000-000006090000}"/>
    <cellStyle name="▲_新ＬＬ報告0306_12年度本部長診断現場報告ドア枠_目指す姿フォーマット" xfId="1723" xr:uid="{00000000-0005-0000-0000-000007090000}"/>
    <cellStyle name="▲_新ＬＬ報告0306_12年度本部長診断現場報告ドア枠_目指す姿フォーマット 2" xfId="3452" xr:uid="{00000000-0005-0000-0000-000008090000}"/>
    <cellStyle name="▲_新ＬＬ報告0306_13年度上期生産性計画" xfId="1724" xr:uid="{00000000-0005-0000-0000-000009090000}"/>
    <cellStyle name="▲_新ＬＬ報告0306_13年度上期生産性計画 2" xfId="3453" xr:uid="{00000000-0005-0000-0000-00000A090000}"/>
    <cellStyle name="▲_新ＬＬ報告0306_13年度反省書(SR係)" xfId="1725" xr:uid="{00000000-0005-0000-0000-00000B090000}"/>
    <cellStyle name="▲_新ＬＬ報告0306_13年度反省書(SR係) 2" xfId="3454" xr:uid="{00000000-0005-0000-0000-00000C090000}"/>
    <cellStyle name="▲_新ＬＬ報告0306_2012年度 保全担当者資料" xfId="1726" xr:uid="{00000000-0005-0000-0000-00000D090000}"/>
    <cellStyle name="▲_新ＬＬ報告0306_2012年度 保全担当者資料 2" xfId="3455" xr:uid="{00000000-0005-0000-0000-00000E090000}"/>
    <cellStyle name="▲_新ＬＬ報告0306_35回品質実践研テーマ" xfId="1727" xr:uid="{00000000-0005-0000-0000-00000F090000}"/>
    <cellStyle name="▲_新ＬＬ報告0306_35回品質実践研テーマ 2" xfId="3456" xr:uid="{00000000-0005-0000-0000-000010090000}"/>
    <cellStyle name="▲_新ＬＬ報告0306_Book1" xfId="1728" xr:uid="{00000000-0005-0000-0000-000011090000}"/>
    <cellStyle name="▲_新ＬＬ報告0306_Book1 2" xfId="3457" xr:uid="{00000000-0005-0000-0000-000012090000}"/>
    <cellStyle name="▲_新ＬＬ報告0306_Book1_目指す姿フォーマット" xfId="1729" xr:uid="{00000000-0005-0000-0000-000013090000}"/>
    <cellStyle name="▲_新ＬＬ報告0306_Book1_目指す姿フォーマット 2" xfId="3458" xr:uid="{00000000-0005-0000-0000-000014090000}"/>
    <cellStyle name="▲_新ＬＬ報告0306_ＢＰ説明資料" xfId="1730" xr:uid="{00000000-0005-0000-0000-000015090000}"/>
    <cellStyle name="▲_新ＬＬ報告0306_ＢＰ説明資料 2" xfId="3459" xr:uid="{00000000-0005-0000-0000-000016090000}"/>
    <cellStyle name="▲_新ＬＬ報告0306_FA" xfId="1731" xr:uid="{00000000-0005-0000-0000-000017090000}"/>
    <cellStyle name="▲_新ＬＬ報告0306_FA 2" xfId="3460" xr:uid="{00000000-0005-0000-0000-000018090000}"/>
    <cellStyle name="▲_新ＬＬ報告0306_Ｈ改善ＳＨ" xfId="1732" xr:uid="{00000000-0005-0000-0000-000019090000}"/>
    <cellStyle name="▲_新ＬＬ報告0306_Ｈ改善ＳＨ 2" xfId="3461" xr:uid="{00000000-0005-0000-0000-00001A090000}"/>
    <cellStyle name="▲_新ＬＬ報告0306_TOPS実践スケジュール（土浦_K" xfId="1733" xr:uid="{00000000-0005-0000-0000-00001B090000}"/>
    <cellStyle name="▲_新ＬＬ報告0306_TOPS実践スケジュール（土浦_K 2" xfId="3462" xr:uid="{00000000-0005-0000-0000-00001C090000}"/>
    <cellStyle name="▲_新ＬＬ報告0306_ページ1" xfId="1734" xr:uid="{00000000-0005-0000-0000-00001D090000}"/>
    <cellStyle name="▲_新ＬＬ報告0306_ページ1 2" xfId="3463" xr:uid="{00000000-0005-0000-0000-00001E090000}"/>
    <cellStyle name="▲_新ＬＬ報告0306_リシェントＴＯＰＳ" xfId="1735" xr:uid="{00000000-0005-0000-0000-00001F090000}"/>
    <cellStyle name="▲_新ＬＬ報告0306_リシェントＴＯＰＳ 2" xfId="3464" xr:uid="{00000000-0005-0000-0000-000020090000}"/>
    <cellStyle name="▲_新ＬＬ報告0306_リシェントＴＯＰＳ_目指す姿フォーマット" xfId="1736" xr:uid="{00000000-0005-0000-0000-000021090000}"/>
    <cellStyle name="▲_新ＬＬ報告0306_リシェントＴＯＰＳ_目指す姿フォーマット 2" xfId="3465" xr:uid="{00000000-0005-0000-0000-000022090000}"/>
    <cellStyle name="▲_新ＬＬ報告0306_活動内容(13年振返り14年進め方）" xfId="1737" xr:uid="{00000000-0005-0000-0000-000023090000}"/>
    <cellStyle name="▲_新ＬＬ報告0306_活動内容(13年振返り14年進め方） 2" xfId="3466" xr:uid="{00000000-0005-0000-0000-000024090000}"/>
    <cellStyle name="▲_新ＬＬ報告0306_管轄ﾗｲﾝ構成1" xfId="1738" xr:uid="{00000000-0005-0000-0000-000025090000}"/>
    <cellStyle name="▲_新ＬＬ報告0306_管轄ﾗｲﾝ構成1 2" xfId="3467" xr:uid="{00000000-0005-0000-0000-000026090000}"/>
    <cellStyle name="▲_新ＬＬ報告0306_工場長診断ドア" xfId="1739" xr:uid="{00000000-0005-0000-0000-000027090000}"/>
    <cellStyle name="▲_新ＬＬ報告0306_工場長診断ドア 2" xfId="3468" xr:uid="{00000000-0005-0000-0000-000028090000}"/>
    <cellStyle name="▲_新ＬＬ報告0306_神奈川工務体制" xfId="1740" xr:uid="{00000000-0005-0000-0000-000029090000}"/>
    <cellStyle name="▲_新ＬＬ報告0306_神奈川工務体制 2" xfId="3469" xr:uid="{00000000-0005-0000-0000-00002A090000}"/>
    <cellStyle name="▲_新ＬＬ報告0306_設技12-004" xfId="1741" xr:uid="{00000000-0005-0000-0000-00002B090000}"/>
    <cellStyle name="▲_新ＬＬ報告0306_設技12-004 2" xfId="3470" xr:uid="{00000000-0005-0000-0000-00002C090000}"/>
    <cellStyle name="▲_新ＬＬ報告0306_専務診断報告資料(05.03.30)xls" xfId="1742" xr:uid="{00000000-0005-0000-0000-00002D090000}"/>
    <cellStyle name="▲_新ＬＬ報告0306_専務診断報告資料(05.03.30)xls 2" xfId="3471" xr:uid="{00000000-0005-0000-0000-00002E090000}"/>
    <cellStyle name="▲_新ＬＬ報告0306_専務診断報告資料（０６年３月度）" xfId="1743" xr:uid="{00000000-0005-0000-0000-00002F090000}"/>
    <cellStyle name="▲_新ＬＬ報告0306_専務診断報告資料（０６年３月度） 2" xfId="3472" xr:uid="{00000000-0005-0000-0000-000030090000}"/>
    <cellStyle name="▲_新ＬＬ報告0306_第33回品質実践研テーマ" xfId="1744" xr:uid="{00000000-0005-0000-0000-000031090000}"/>
    <cellStyle name="▲_新ＬＬ報告0306_第33回品質実践研テーマ 2" xfId="3473" xr:uid="{00000000-0005-0000-0000-000032090000}"/>
    <cellStyle name="▲_新ＬＬ報告0306_第34回品質実践研テーマ" xfId="1745" xr:uid="{00000000-0005-0000-0000-000033090000}"/>
    <cellStyle name="▲_新ＬＬ報告0306_第34回品質実践研テーマ 2" xfId="3474" xr:uid="{00000000-0005-0000-0000-000034090000}"/>
    <cellStyle name="▲_新ＬＬ報告0306_第36回品質実践研テーマ" xfId="1746" xr:uid="{00000000-0005-0000-0000-000035090000}"/>
    <cellStyle name="▲_新ＬＬ報告0306_第36回品質実践研テーマ 2" xfId="3475" xr:uid="{00000000-0005-0000-0000-000036090000}"/>
    <cellStyle name="▲_新ＬＬ報告0306_第37回品質実践件テーマ（玄収扉）" xfId="1747" xr:uid="{00000000-0005-0000-0000-000037090000}"/>
    <cellStyle name="▲_新ＬＬ報告0306_第37回品質実践件テーマ（玄収扉） 2" xfId="3476" xr:uid="{00000000-0005-0000-0000-000038090000}"/>
    <cellStyle name="▲_新ＬＬ報告0306_第37回品質実践研テーマ" xfId="1748" xr:uid="{00000000-0005-0000-0000-000039090000}"/>
    <cellStyle name="▲_新ＬＬ報告0306_第37回品質実践研テーマ 2" xfId="3477" xr:uid="{00000000-0005-0000-0000-00003A090000}"/>
    <cellStyle name="▲_新ＬＬ報告0306_第38回品質実践研テーマ" xfId="1749" xr:uid="{00000000-0005-0000-0000-00003B090000}"/>
    <cellStyle name="▲_新ＬＬ報告0306_第38回品質実践研テーマ 2" xfId="3478" xr:uid="{00000000-0005-0000-0000-00003C090000}"/>
    <cellStyle name="▲_新ＬＬ報告0306_第39回品質実践研テーマ（クロ本体）" xfId="1750" xr:uid="{00000000-0005-0000-0000-00003D090000}"/>
    <cellStyle name="▲_新ＬＬ報告0306_第39回品質実践研テーマ（クロ本体） 2" xfId="3479" xr:uid="{00000000-0005-0000-0000-00003E090000}"/>
    <cellStyle name="▲_新ＬＬ報告0306_第40回品質実践研テーマ" xfId="1751" xr:uid="{00000000-0005-0000-0000-00003F090000}"/>
    <cellStyle name="▲_新ＬＬ報告0306_第40回品質実践研テーマ 2" xfId="3480" xr:uid="{00000000-0005-0000-0000-000040090000}"/>
    <cellStyle name="▲_新ＬＬ報告0306_第４１回品質実践研（養生）" xfId="1752" xr:uid="{00000000-0005-0000-0000-000041090000}"/>
    <cellStyle name="▲_新ＬＬ報告0306_第４１回品質実践研（養生） 2" xfId="3481" xr:uid="{00000000-0005-0000-0000-000042090000}"/>
    <cellStyle name="▲_新ＬＬ報告0306_第41回品質実践研テーマ（玄収扉）" xfId="1753" xr:uid="{00000000-0005-0000-0000-000043090000}"/>
    <cellStyle name="▲_新ＬＬ報告0306_第41回品質実践研テーマ（玄収扉） 2" xfId="3482" xr:uid="{00000000-0005-0000-0000-000044090000}"/>
    <cellStyle name="▲_新ＬＬ報告0306_品質レベル（ドア枠Ｂ）" xfId="1754" xr:uid="{00000000-0005-0000-0000-000045090000}"/>
    <cellStyle name="▲_新ＬＬ報告0306_品質レベル（ドア枠Ｂ） 2" xfId="3483" xr:uid="{00000000-0005-0000-0000-000046090000}"/>
    <cellStyle name="▲_新ＬＬ報告0306_本部長診断会ドア" xfId="1755" xr:uid="{00000000-0005-0000-0000-000047090000}"/>
    <cellStyle name="▲_新ＬＬ報告0306_本部長診断会ドア 2" xfId="3484" xr:uid="{00000000-0005-0000-0000-000048090000}"/>
    <cellStyle name="▲_新ＬＬ報告0308" xfId="96" xr:uid="{00000000-0005-0000-0000-000049090000}"/>
    <cellStyle name="▲_新ＬＬ報告0308 2" xfId="3485" xr:uid="{00000000-0005-0000-0000-00004A090000}"/>
    <cellStyle name="▲_新ＬＬ報告0308_(SR海外)_工程台帳" xfId="1756" xr:uid="{00000000-0005-0000-0000-00004B090000}"/>
    <cellStyle name="▲_新ＬＬ報告0308_(SR海外)_工程台帳 2" xfId="3486" xr:uid="{00000000-0005-0000-0000-00004C090000}"/>
    <cellStyle name="▲_新ＬＬ報告0308_《PL枠》12年度目指すべき姿" xfId="1757" xr:uid="{00000000-0005-0000-0000-00004D090000}"/>
    <cellStyle name="▲_新ＬＬ報告0308_《PL枠》12年度目指すべき姿 2" xfId="3487" xr:uid="{00000000-0005-0000-0000-00004E090000}"/>
    <cellStyle name="▲_新ＬＬ報告0308_《PL枠》12年度目指すべき姿_目指す姿フォーマット" xfId="1758" xr:uid="{00000000-0005-0000-0000-00004F090000}"/>
    <cellStyle name="▲_新ＬＬ報告0308_《PL枠》12年度目指すべき姿_目指す姿フォーマット 2" xfId="3488" xr:uid="{00000000-0005-0000-0000-000050090000}"/>
    <cellStyle name="▲_新ＬＬ報告0308_《ベルスク２》12年度目指すべき姿" xfId="1759" xr:uid="{00000000-0005-0000-0000-000051090000}"/>
    <cellStyle name="▲_新ＬＬ報告0308_《ベルスク２》12年度目指すべき姿 2" xfId="3489" xr:uid="{00000000-0005-0000-0000-000052090000}"/>
    <cellStyle name="▲_新ＬＬ報告0308_《ベルスク２》12年度目指すべき姿_目指す姿フォーマット" xfId="1760" xr:uid="{00000000-0005-0000-0000-000053090000}"/>
    <cellStyle name="▲_新ＬＬ報告0308_《ベルスク２》12年度目指すべき姿_目指す姿フォーマット 2" xfId="3490" xr:uid="{00000000-0005-0000-0000-000054090000}"/>
    <cellStyle name="▲_新ＬＬ報告0308_【0907ライン別現象別比較】" xfId="1761" xr:uid="{00000000-0005-0000-0000-000055090000}"/>
    <cellStyle name="▲_新ＬＬ報告0308_【0907ライン別現象別比較】 2" xfId="3491" xr:uid="{00000000-0005-0000-0000-000056090000}"/>
    <cellStyle name="▲_新ＬＬ報告0308_【清水B】11年度フォローシート【品質】" xfId="1762" xr:uid="{00000000-0005-0000-0000-000057090000}"/>
    <cellStyle name="▲_新ＬＬ報告0308_【清水B】11年度フォローシート【品質】 2" xfId="3492" xr:uid="{00000000-0005-0000-0000-000058090000}"/>
    <cellStyle name="▲_新ＬＬ報告0308_【品質保証レベル（外観含み）】（製造課定義）xls" xfId="1763" xr:uid="{00000000-0005-0000-0000-000059090000}"/>
    <cellStyle name="▲_新ＬＬ報告0308_【品質保証レベル（外観含み）】（製造課定義）xls 2" xfId="3493" xr:uid="{00000000-0005-0000-0000-00005A090000}"/>
    <cellStyle name="▲_新ＬＬ報告0308_【品質保証レベル向上（まとめ）】" xfId="1764" xr:uid="{00000000-0005-0000-0000-00005B090000}"/>
    <cellStyle name="▲_新ＬＬ報告0308_【品質保証レベル向上（まとめ）】 2" xfId="3494" xr:uid="{00000000-0005-0000-0000-00005C090000}"/>
    <cellStyle name="▲_新ＬＬ報告0308_【有賀】09なし 間違い方策展開系統図 " xfId="1765" xr:uid="{00000000-0005-0000-0000-00005D090000}"/>
    <cellStyle name="▲_新ＬＬ報告0308_【有賀】09なし 間違い方策展開系統図  2" xfId="3495" xr:uid="{00000000-0005-0000-0000-00005E090000}"/>
    <cellStyle name="▲_新ＬＬ報告0308_■【12ライン別】製造原価率推移グラフ" xfId="1766" xr:uid="{00000000-0005-0000-0000-00005F090000}"/>
    <cellStyle name="▲_新ＬＬ報告0308_■【12ライン別】製造原価率推移グラフ 2" xfId="3496" xr:uid="{00000000-0005-0000-0000-000060090000}"/>
    <cellStyle name="▲_新ＬＬ報告0308_０５年度方針実績" xfId="1767" xr:uid="{00000000-0005-0000-0000-000061090000}"/>
    <cellStyle name="▲_新ＬＬ報告0308_０５年度方針実績 2" xfId="3497" xr:uid="{00000000-0005-0000-0000-000062090000}"/>
    <cellStyle name="▲_新ＬＬ報告0308_110706【清水Ｂ品質保証レベル向上進捗シート】xls" xfId="1768" xr:uid="{00000000-0005-0000-0000-000063090000}"/>
    <cellStyle name="▲_新ＬＬ報告0308_110706【清水Ｂ品質保証レベル向上進捗シート】xls 2" xfId="3498" xr:uid="{00000000-0005-0000-0000-000064090000}"/>
    <cellStyle name="▲_新ＬＬ報告0308_12年度本部長診断現場報告ドア枠" xfId="1769" xr:uid="{00000000-0005-0000-0000-000065090000}"/>
    <cellStyle name="▲_新ＬＬ報告0308_12年度本部長診断現場報告ドア枠 2" xfId="3499" xr:uid="{00000000-0005-0000-0000-000066090000}"/>
    <cellStyle name="▲_新ＬＬ報告0308_12年度本部長診断現場報告ドア枠_目指す姿フォーマット" xfId="1770" xr:uid="{00000000-0005-0000-0000-000067090000}"/>
    <cellStyle name="▲_新ＬＬ報告0308_12年度本部長診断現場報告ドア枠_目指す姿フォーマット 2" xfId="3500" xr:uid="{00000000-0005-0000-0000-000068090000}"/>
    <cellStyle name="▲_新ＬＬ報告0308_13年度上期生産性計画" xfId="1771" xr:uid="{00000000-0005-0000-0000-000069090000}"/>
    <cellStyle name="▲_新ＬＬ報告0308_13年度上期生産性計画 2" xfId="3501" xr:uid="{00000000-0005-0000-0000-00006A090000}"/>
    <cellStyle name="▲_新ＬＬ報告0308_13年度反省書(SR係)" xfId="1772" xr:uid="{00000000-0005-0000-0000-00006B090000}"/>
    <cellStyle name="▲_新ＬＬ報告0308_13年度反省書(SR係) 2" xfId="3502" xr:uid="{00000000-0005-0000-0000-00006C090000}"/>
    <cellStyle name="▲_新ＬＬ報告0308_2012年度 保全担当者資料" xfId="1773" xr:uid="{00000000-0005-0000-0000-00006D090000}"/>
    <cellStyle name="▲_新ＬＬ報告0308_2012年度 保全担当者資料 2" xfId="3503" xr:uid="{00000000-0005-0000-0000-00006E090000}"/>
    <cellStyle name="▲_新ＬＬ報告0308_35回品質実践研テーマ" xfId="1774" xr:uid="{00000000-0005-0000-0000-00006F090000}"/>
    <cellStyle name="▲_新ＬＬ報告0308_35回品質実践研テーマ 2" xfId="3504" xr:uid="{00000000-0005-0000-0000-000070090000}"/>
    <cellStyle name="▲_新ＬＬ報告0308_Book1" xfId="1775" xr:uid="{00000000-0005-0000-0000-000071090000}"/>
    <cellStyle name="▲_新ＬＬ報告0308_Book1 2" xfId="3505" xr:uid="{00000000-0005-0000-0000-000072090000}"/>
    <cellStyle name="▲_新ＬＬ報告0308_Book1_目指す姿フォーマット" xfId="1776" xr:uid="{00000000-0005-0000-0000-000073090000}"/>
    <cellStyle name="▲_新ＬＬ報告0308_Book1_目指す姿フォーマット 2" xfId="3506" xr:uid="{00000000-0005-0000-0000-000074090000}"/>
    <cellStyle name="▲_新ＬＬ報告0308_ＢＰ説明資料" xfId="1777" xr:uid="{00000000-0005-0000-0000-000075090000}"/>
    <cellStyle name="▲_新ＬＬ報告0308_ＢＰ説明資料 2" xfId="3507" xr:uid="{00000000-0005-0000-0000-000076090000}"/>
    <cellStyle name="▲_新ＬＬ報告0308_FA" xfId="1778" xr:uid="{00000000-0005-0000-0000-000077090000}"/>
    <cellStyle name="▲_新ＬＬ報告0308_FA 2" xfId="3508" xr:uid="{00000000-0005-0000-0000-000078090000}"/>
    <cellStyle name="▲_新ＬＬ報告0308_Ｈ改善ＳＨ" xfId="1779" xr:uid="{00000000-0005-0000-0000-000079090000}"/>
    <cellStyle name="▲_新ＬＬ報告0308_Ｈ改善ＳＨ 2" xfId="3509" xr:uid="{00000000-0005-0000-0000-00007A090000}"/>
    <cellStyle name="▲_新ＬＬ報告0308_TOPS実践スケジュール（土浦_K" xfId="1780" xr:uid="{00000000-0005-0000-0000-00007B090000}"/>
    <cellStyle name="▲_新ＬＬ報告0308_TOPS実践スケジュール（土浦_K 2" xfId="3510" xr:uid="{00000000-0005-0000-0000-00007C090000}"/>
    <cellStyle name="▲_新ＬＬ報告0308_ページ1" xfId="1781" xr:uid="{00000000-0005-0000-0000-00007D090000}"/>
    <cellStyle name="▲_新ＬＬ報告0308_ページ1 2" xfId="3511" xr:uid="{00000000-0005-0000-0000-00007E090000}"/>
    <cellStyle name="▲_新ＬＬ報告0308_リシェントＴＯＰＳ" xfId="1782" xr:uid="{00000000-0005-0000-0000-00007F090000}"/>
    <cellStyle name="▲_新ＬＬ報告0308_リシェントＴＯＰＳ 2" xfId="3512" xr:uid="{00000000-0005-0000-0000-000080090000}"/>
    <cellStyle name="▲_新ＬＬ報告0308_リシェントＴＯＰＳ_目指す姿フォーマット" xfId="1783" xr:uid="{00000000-0005-0000-0000-000081090000}"/>
    <cellStyle name="▲_新ＬＬ報告0308_リシェントＴＯＰＳ_目指す姿フォーマット 2" xfId="3513" xr:uid="{00000000-0005-0000-0000-000082090000}"/>
    <cellStyle name="▲_新ＬＬ報告0308_活動内容(13年振返り14年進め方）" xfId="1784" xr:uid="{00000000-0005-0000-0000-000083090000}"/>
    <cellStyle name="▲_新ＬＬ報告0308_活動内容(13年振返り14年進め方） 2" xfId="3514" xr:uid="{00000000-0005-0000-0000-000084090000}"/>
    <cellStyle name="▲_新ＬＬ報告0308_管轄ﾗｲﾝ構成1" xfId="1785" xr:uid="{00000000-0005-0000-0000-000085090000}"/>
    <cellStyle name="▲_新ＬＬ報告0308_管轄ﾗｲﾝ構成1 2" xfId="3515" xr:uid="{00000000-0005-0000-0000-000086090000}"/>
    <cellStyle name="▲_新ＬＬ報告0308_工場長診断ドア" xfId="1786" xr:uid="{00000000-0005-0000-0000-000087090000}"/>
    <cellStyle name="▲_新ＬＬ報告0308_工場長診断ドア 2" xfId="3516" xr:uid="{00000000-0005-0000-0000-000088090000}"/>
    <cellStyle name="▲_新ＬＬ報告0308_神奈川工務体制" xfId="1787" xr:uid="{00000000-0005-0000-0000-000089090000}"/>
    <cellStyle name="▲_新ＬＬ報告0308_神奈川工務体制 2" xfId="3517" xr:uid="{00000000-0005-0000-0000-00008A090000}"/>
    <cellStyle name="▲_新ＬＬ報告0308_設技12-004" xfId="1788" xr:uid="{00000000-0005-0000-0000-00008B090000}"/>
    <cellStyle name="▲_新ＬＬ報告0308_設技12-004 2" xfId="3518" xr:uid="{00000000-0005-0000-0000-00008C090000}"/>
    <cellStyle name="▲_新ＬＬ報告0308_専務診断報告資料(05.03.30)xls" xfId="1789" xr:uid="{00000000-0005-0000-0000-00008D090000}"/>
    <cellStyle name="▲_新ＬＬ報告0308_専務診断報告資料(05.03.30)xls 2" xfId="3519" xr:uid="{00000000-0005-0000-0000-00008E090000}"/>
    <cellStyle name="▲_新ＬＬ報告0308_専務診断報告資料（０６年３月度）" xfId="1790" xr:uid="{00000000-0005-0000-0000-00008F090000}"/>
    <cellStyle name="▲_新ＬＬ報告0308_専務診断報告資料（０６年３月度） 2" xfId="3520" xr:uid="{00000000-0005-0000-0000-000090090000}"/>
    <cellStyle name="▲_新ＬＬ報告0308_第33回品質実践研テーマ" xfId="1791" xr:uid="{00000000-0005-0000-0000-000091090000}"/>
    <cellStyle name="▲_新ＬＬ報告0308_第33回品質実践研テーマ 2" xfId="3521" xr:uid="{00000000-0005-0000-0000-000092090000}"/>
    <cellStyle name="▲_新ＬＬ報告0308_第34回品質実践研テーマ" xfId="1792" xr:uid="{00000000-0005-0000-0000-000093090000}"/>
    <cellStyle name="▲_新ＬＬ報告0308_第34回品質実践研テーマ 2" xfId="3522" xr:uid="{00000000-0005-0000-0000-000094090000}"/>
    <cellStyle name="▲_新ＬＬ報告0308_第36回品質実践研テーマ" xfId="1793" xr:uid="{00000000-0005-0000-0000-000095090000}"/>
    <cellStyle name="▲_新ＬＬ報告0308_第36回品質実践研テーマ 2" xfId="3523" xr:uid="{00000000-0005-0000-0000-000096090000}"/>
    <cellStyle name="▲_新ＬＬ報告0308_第37回品質実践件テーマ（玄収扉）" xfId="1794" xr:uid="{00000000-0005-0000-0000-000097090000}"/>
    <cellStyle name="▲_新ＬＬ報告0308_第37回品質実践件テーマ（玄収扉） 2" xfId="3524" xr:uid="{00000000-0005-0000-0000-000098090000}"/>
    <cellStyle name="▲_新ＬＬ報告0308_第37回品質実践研テーマ" xfId="1795" xr:uid="{00000000-0005-0000-0000-000099090000}"/>
    <cellStyle name="▲_新ＬＬ報告0308_第37回品質実践研テーマ 2" xfId="3525" xr:uid="{00000000-0005-0000-0000-00009A090000}"/>
    <cellStyle name="▲_新ＬＬ報告0308_第38回品質実践研テーマ" xfId="1796" xr:uid="{00000000-0005-0000-0000-00009B090000}"/>
    <cellStyle name="▲_新ＬＬ報告0308_第38回品質実践研テーマ 2" xfId="3526" xr:uid="{00000000-0005-0000-0000-00009C090000}"/>
    <cellStyle name="▲_新ＬＬ報告0308_第39回品質実践研テーマ（クロ本体）" xfId="1797" xr:uid="{00000000-0005-0000-0000-00009D090000}"/>
    <cellStyle name="▲_新ＬＬ報告0308_第39回品質実践研テーマ（クロ本体） 2" xfId="3527" xr:uid="{00000000-0005-0000-0000-00009E090000}"/>
    <cellStyle name="▲_新ＬＬ報告0308_第40回品質実践研テーマ" xfId="1798" xr:uid="{00000000-0005-0000-0000-00009F090000}"/>
    <cellStyle name="▲_新ＬＬ報告0308_第40回品質実践研テーマ 2" xfId="3528" xr:uid="{00000000-0005-0000-0000-0000A0090000}"/>
    <cellStyle name="▲_新ＬＬ報告0308_第４１回品質実践研（養生）" xfId="1799" xr:uid="{00000000-0005-0000-0000-0000A1090000}"/>
    <cellStyle name="▲_新ＬＬ報告0308_第４１回品質実践研（養生） 2" xfId="3529" xr:uid="{00000000-0005-0000-0000-0000A2090000}"/>
    <cellStyle name="▲_新ＬＬ報告0308_第41回品質実践研テーマ（玄収扉）" xfId="1800" xr:uid="{00000000-0005-0000-0000-0000A3090000}"/>
    <cellStyle name="▲_新ＬＬ報告0308_第41回品質実践研テーマ（玄収扉） 2" xfId="3530" xr:uid="{00000000-0005-0000-0000-0000A4090000}"/>
    <cellStyle name="▲_新ＬＬ報告0308_品質レベル（ドア枠Ｂ）" xfId="1801" xr:uid="{00000000-0005-0000-0000-0000A5090000}"/>
    <cellStyle name="▲_新ＬＬ報告0308_品質レベル（ドア枠Ｂ） 2" xfId="3531" xr:uid="{00000000-0005-0000-0000-0000A6090000}"/>
    <cellStyle name="▲_新ＬＬ報告0308_本部長診断会ドア" xfId="1802" xr:uid="{00000000-0005-0000-0000-0000A7090000}"/>
    <cellStyle name="▲_新ＬＬ報告0308_本部長診断会ドア 2" xfId="3532" xr:uid="{00000000-0005-0000-0000-0000A8090000}"/>
    <cellStyle name="▲_新規・未取先" xfId="97" xr:uid="{00000000-0005-0000-0000-0000A9090000}"/>
    <cellStyle name="▲_新規・未取先 2" xfId="3533" xr:uid="{00000000-0005-0000-0000-0000AA090000}"/>
    <cellStyle name="▲_新規・未取先 2 2" xfId="3534" xr:uid="{00000000-0005-0000-0000-0000AB090000}"/>
    <cellStyle name="▲_新規・未取先 3" xfId="3535" xr:uid="{00000000-0005-0000-0000-0000AC090000}"/>
    <cellStyle name="▲_新規・未取先 3 2" xfId="3536" xr:uid="{00000000-0005-0000-0000-0000AD090000}"/>
    <cellStyle name="▲_新規・未取先 3 2 2" xfId="3537" xr:uid="{00000000-0005-0000-0000-0000AE090000}"/>
    <cellStyle name="▲_新規・未取先 3 3" xfId="3538" xr:uid="{00000000-0005-0000-0000-0000AF090000}"/>
    <cellStyle name="▲_新規・未取先 4" xfId="3539" xr:uid="{00000000-0005-0000-0000-0000B0090000}"/>
    <cellStyle name="▲_新規・未取先_(SR海外)_工程台帳" xfId="1803" xr:uid="{00000000-0005-0000-0000-0000B1090000}"/>
    <cellStyle name="▲_新規・未取先_(SR海外)_工程台帳 2" xfId="5684" xr:uid="{00000000-0005-0000-0000-0000B2090000}"/>
    <cellStyle name="▲_新規・未取先_《PL枠》12年度目指すべき姿" xfId="1804" xr:uid="{00000000-0005-0000-0000-0000B3090000}"/>
    <cellStyle name="▲_新規・未取先_《PL枠》12年度目指すべき姿 2" xfId="5685" xr:uid="{00000000-0005-0000-0000-0000B4090000}"/>
    <cellStyle name="▲_新規・未取先_《ベルスク２》12年度目指すべき姿" xfId="1805" xr:uid="{00000000-0005-0000-0000-0000B5090000}"/>
    <cellStyle name="▲_新規・未取先_《ベルスク２》12年度目指すべき姿 2" xfId="5686" xr:uid="{00000000-0005-0000-0000-0000B6090000}"/>
    <cellStyle name="▲_新規・未取先_【0907ライン別現象別比較】" xfId="1806" xr:uid="{00000000-0005-0000-0000-0000B7090000}"/>
    <cellStyle name="▲_新規・未取先_【清水B】11年度フォローシート【品質】" xfId="1807" xr:uid="{00000000-0005-0000-0000-0000B8090000}"/>
    <cellStyle name="▲_新規・未取先_【品質保証レベル（外観含み）】（製造課定義）xls" xfId="1808" xr:uid="{00000000-0005-0000-0000-0000B9090000}"/>
    <cellStyle name="▲_新規・未取先_【品質保証レベル向上（まとめ）】" xfId="1809" xr:uid="{00000000-0005-0000-0000-0000BA090000}"/>
    <cellStyle name="▲_新規・未取先_【有賀】09なし 間違い方策展開系統図 " xfId="1810" xr:uid="{00000000-0005-0000-0000-0000BB090000}"/>
    <cellStyle name="▲_新規・未取先_■【12ライン別】製造原価率推移グラフ" xfId="1811" xr:uid="{00000000-0005-0000-0000-0000BC090000}"/>
    <cellStyle name="▲_新規・未取先_０５年度方針実績" xfId="1812" xr:uid="{00000000-0005-0000-0000-0000BD090000}"/>
    <cellStyle name="▲_新規・未取先_110706【清水Ｂ品質保証レベル向上進捗シート】xls" xfId="1813" xr:uid="{00000000-0005-0000-0000-0000BE090000}"/>
    <cellStyle name="▲_新規・未取先_12年度本部長診断現場報告ドア枠" xfId="1814" xr:uid="{00000000-0005-0000-0000-0000BF090000}"/>
    <cellStyle name="▲_新規・未取先_12年度本部長診断現場報告ドア枠 2" xfId="5687" xr:uid="{00000000-0005-0000-0000-0000C0090000}"/>
    <cellStyle name="▲_新規・未取先_13年度上期生産性計画" xfId="1815" xr:uid="{00000000-0005-0000-0000-0000C1090000}"/>
    <cellStyle name="▲_新規・未取先_13年度反省書(SR係)" xfId="1816" xr:uid="{00000000-0005-0000-0000-0000C2090000}"/>
    <cellStyle name="▲_新規・未取先_35回品質実践研テーマ" xfId="1817" xr:uid="{00000000-0005-0000-0000-0000C3090000}"/>
    <cellStyle name="▲_新規・未取先_ＢＰ説明資料" xfId="1818" xr:uid="{00000000-0005-0000-0000-0000C4090000}"/>
    <cellStyle name="▲_新規・未取先_FA" xfId="1819" xr:uid="{00000000-0005-0000-0000-0000C5090000}"/>
    <cellStyle name="▲_新規・未取先_FA 2" xfId="5688" xr:uid="{00000000-0005-0000-0000-0000C6090000}"/>
    <cellStyle name="▲_新規・未取先_Ｈ改善ＳＨ" xfId="1820" xr:uid="{00000000-0005-0000-0000-0000C7090000}"/>
    <cellStyle name="▲_新規・未取先_TOPS実践スケジュール（土浦_K" xfId="1821" xr:uid="{00000000-0005-0000-0000-0000C8090000}"/>
    <cellStyle name="▲_新規・未取先_ページ1" xfId="1822" xr:uid="{00000000-0005-0000-0000-0000C9090000}"/>
    <cellStyle name="▲_新規・未取先_ページ1 2" xfId="5689" xr:uid="{00000000-0005-0000-0000-0000CA090000}"/>
    <cellStyle name="▲_新規・未取先_リシェントＴＯＰＳ" xfId="1823" xr:uid="{00000000-0005-0000-0000-0000CB090000}"/>
    <cellStyle name="▲_新規・未取先_リシェントＴＯＰＳ 2" xfId="5690" xr:uid="{00000000-0005-0000-0000-0000CC090000}"/>
    <cellStyle name="▲_新規・未取先_活動内容(13年振返り14年進め方）" xfId="1824" xr:uid="{00000000-0005-0000-0000-0000CD090000}"/>
    <cellStyle name="▲_新規・未取先_活動内容(13年振返り14年進め方） 2" xfId="5691" xr:uid="{00000000-0005-0000-0000-0000CE090000}"/>
    <cellStyle name="▲_新規・未取先_管轄ﾗｲﾝ構成1" xfId="1825" xr:uid="{00000000-0005-0000-0000-0000CF090000}"/>
    <cellStyle name="▲_新規・未取先_工場長診断ドア" xfId="1826" xr:uid="{00000000-0005-0000-0000-0000D0090000}"/>
    <cellStyle name="▲_新規・未取先_神奈川工務体制" xfId="1827" xr:uid="{00000000-0005-0000-0000-0000D1090000}"/>
    <cellStyle name="▲_新規・未取先_設技12-004" xfId="1828" xr:uid="{00000000-0005-0000-0000-0000D2090000}"/>
    <cellStyle name="▲_新規・未取先_専務診断報告資料(05.03.30)xls" xfId="1829" xr:uid="{00000000-0005-0000-0000-0000D3090000}"/>
    <cellStyle name="▲_新規・未取先_専務診断報告資料（０６年３月度）" xfId="1830" xr:uid="{00000000-0005-0000-0000-0000D4090000}"/>
    <cellStyle name="▲_新規・未取先_第33回品質実践研テーマ" xfId="1831" xr:uid="{00000000-0005-0000-0000-0000D5090000}"/>
    <cellStyle name="▲_新規・未取先_第34回品質実践研テーマ" xfId="1832" xr:uid="{00000000-0005-0000-0000-0000D6090000}"/>
    <cellStyle name="▲_新規・未取先_第36回品質実践研テーマ" xfId="1833" xr:uid="{00000000-0005-0000-0000-0000D7090000}"/>
    <cellStyle name="▲_新規・未取先_第37回品質実践件テーマ（玄収扉）" xfId="1834" xr:uid="{00000000-0005-0000-0000-0000D8090000}"/>
    <cellStyle name="▲_新規・未取先_第37回品質実践研テーマ" xfId="1835" xr:uid="{00000000-0005-0000-0000-0000D9090000}"/>
    <cellStyle name="▲_新規・未取先_第38回品質実践研テーマ" xfId="1836" xr:uid="{00000000-0005-0000-0000-0000DA090000}"/>
    <cellStyle name="▲_新規・未取先_第39回品質実践研テーマ（クロ本体）" xfId="1837" xr:uid="{00000000-0005-0000-0000-0000DB090000}"/>
    <cellStyle name="▲_新規・未取先_第40回品質実践研テーマ" xfId="1838" xr:uid="{00000000-0005-0000-0000-0000DC090000}"/>
    <cellStyle name="▲_新規・未取先_第４１回品質実践研（養生）" xfId="1839" xr:uid="{00000000-0005-0000-0000-0000DD090000}"/>
    <cellStyle name="▲_新規・未取先_第41回品質実践研テーマ（玄収扉）" xfId="1840" xr:uid="{00000000-0005-0000-0000-0000DE090000}"/>
    <cellStyle name="▲_新規・未取先_品質レベル（ドア枠Ｂ）" xfId="1841" xr:uid="{00000000-0005-0000-0000-0000DF090000}"/>
    <cellStyle name="▲_新規・未取先_本部長診断会ドア" xfId="1842" xr:uid="{00000000-0005-0000-0000-0000E0090000}"/>
    <cellStyle name="▲_神奈川工務体制" xfId="1843" xr:uid="{00000000-0005-0000-0000-0000E1090000}"/>
    <cellStyle name="▲_進捗確認フォーマット" xfId="1844" xr:uid="{00000000-0005-0000-0000-0000E2090000}"/>
    <cellStyle name="▲_進捗確認フォーマット 2" xfId="5692" xr:uid="{00000000-0005-0000-0000-0000E3090000}"/>
    <cellStyle name="▲_水戸改善管理活動" xfId="1845" xr:uid="{00000000-0005-0000-0000-0000E4090000}"/>
    <cellStyle name="▲_制造部新技   （10年）  2月5日) " xfId="3540" xr:uid="{00000000-0005-0000-0000-0000E5090000}"/>
    <cellStyle name="▲_制造部新技（09年）一表" xfId="3541" xr:uid="{00000000-0005-0000-0000-0000E6090000}"/>
    <cellStyle name="▲_清水反省" xfId="1846" xr:uid="{00000000-0005-0000-0000-0000E7090000}"/>
    <cellStyle name="▲_生産工場案" xfId="1847" xr:uid="{00000000-0005-0000-0000-0000E8090000}"/>
    <cellStyle name="▲_生産性見直し" xfId="1848" xr:uid="{00000000-0005-0000-0000-0000E9090000}"/>
    <cellStyle name="▲_製造条件" xfId="3542" xr:uid="{00000000-0005-0000-0000-0000EA090000}"/>
    <cellStyle name="▲_製造条件表" xfId="1849" xr:uid="{00000000-0005-0000-0000-0000EB090000}"/>
    <cellStyle name="▲_製造条件表 2" xfId="3543" xr:uid="{00000000-0005-0000-0000-0000EC090000}"/>
    <cellStyle name="▲_製造条件表 2 2" xfId="3544" xr:uid="{00000000-0005-0000-0000-0000ED090000}"/>
    <cellStyle name="▲_製造条件表 2 2 2" xfId="3545" xr:uid="{00000000-0005-0000-0000-0000EE090000}"/>
    <cellStyle name="▲_製造条件表 2 2 2 2" xfId="3546" xr:uid="{00000000-0005-0000-0000-0000EF090000}"/>
    <cellStyle name="▲_製造条件表 2 2 3" xfId="3547" xr:uid="{00000000-0005-0000-0000-0000F0090000}"/>
    <cellStyle name="▲_製造条件表 2 2 3 2" xfId="3548" xr:uid="{00000000-0005-0000-0000-0000F1090000}"/>
    <cellStyle name="▲_製造条件表 2 2 3 2 2" xfId="3549" xr:uid="{00000000-0005-0000-0000-0000F2090000}"/>
    <cellStyle name="▲_製造条件表 2 2 3 3" xfId="3550" xr:uid="{00000000-0005-0000-0000-0000F3090000}"/>
    <cellStyle name="▲_製造条件表 2 2 4" xfId="3551" xr:uid="{00000000-0005-0000-0000-0000F4090000}"/>
    <cellStyle name="▲_製造条件表 2 3" xfId="3552" xr:uid="{00000000-0005-0000-0000-0000F5090000}"/>
    <cellStyle name="▲_製造条件表 3" xfId="3553" xr:uid="{00000000-0005-0000-0000-0000F6090000}"/>
    <cellStyle name="▲_製造条件表_(SR海外)_工程台帳" xfId="1850" xr:uid="{00000000-0005-0000-0000-0000F7090000}"/>
    <cellStyle name="▲_製造条件表_(SR海外)_工程台帳 2" xfId="5693" xr:uid="{00000000-0005-0000-0000-0000F8090000}"/>
    <cellStyle name="▲_製造条件表_0810社長報告" xfId="1851" xr:uid="{00000000-0005-0000-0000-0000F9090000}"/>
    <cellStyle name="▲_製造条件表_0810小川社長報告(高田分)" xfId="1852" xr:uid="{00000000-0005-0000-0000-0000FA090000}"/>
    <cellStyle name="▲_製造条件表_0810小川社長報告(高田分) 2" xfId="5694" xr:uid="{00000000-0005-0000-0000-0000FB090000}"/>
    <cellStyle name="▲_製品原価（ｶﾐﾝｸﾞﾎｰﾑ）" xfId="1853" xr:uid="{00000000-0005-0000-0000-0000FC090000}"/>
    <cellStyle name="▲_製品別大日程" xfId="1854" xr:uid="{00000000-0005-0000-0000-0000FD090000}"/>
    <cellStyle name="▲_西田淳L長" xfId="1855" xr:uid="{00000000-0005-0000-0000-0000FE090000}"/>
    <cellStyle name="▲_請求明細書(5月26～31日分)" xfId="3554" xr:uid="{00000000-0005-0000-0000-0000FF090000}"/>
    <cellStyle name="▲_請求明細書(5月26～31日分) 2" xfId="3555" xr:uid="{00000000-0005-0000-0000-0000000A0000}"/>
    <cellStyle name="▲_請求明細書(5月26～31日分) 2 2" xfId="3556" xr:uid="{00000000-0005-0000-0000-0000010A0000}"/>
    <cellStyle name="▲_請求明細書(5月26～31日分) 2 2 2" xfId="3557" xr:uid="{00000000-0005-0000-0000-0000020A0000}"/>
    <cellStyle name="▲_請求明細書(5月26～31日分) 2 2 2 2" xfId="3558" xr:uid="{00000000-0005-0000-0000-0000030A0000}"/>
    <cellStyle name="▲_請求明細書(5月26～31日分) 2 2 3" xfId="3559" xr:uid="{00000000-0005-0000-0000-0000040A0000}"/>
    <cellStyle name="▲_請求明細書(5月26～31日分) 2 2 3 2" xfId="3560" xr:uid="{00000000-0005-0000-0000-0000050A0000}"/>
    <cellStyle name="▲_請求明細書(5月26～31日分) 2 2 3 2 2" xfId="3561" xr:uid="{00000000-0005-0000-0000-0000060A0000}"/>
    <cellStyle name="▲_請求明細書(5月26～31日分) 2 2 3 3" xfId="3562" xr:uid="{00000000-0005-0000-0000-0000070A0000}"/>
    <cellStyle name="▲_請求明細書(5月26～31日分) 2 2 4" xfId="3563" xr:uid="{00000000-0005-0000-0000-0000080A0000}"/>
    <cellStyle name="▲_請求明細書(5月26～31日分) 2 3" xfId="3564" xr:uid="{00000000-0005-0000-0000-0000090A0000}"/>
    <cellStyle name="▲_請求明細書(5月26～31日分) 3" xfId="3565" xr:uid="{00000000-0005-0000-0000-00000A0A0000}"/>
    <cellStyle name="▲_設技12-004" xfId="1856" xr:uid="{00000000-0005-0000-0000-00000B0A0000}"/>
    <cellStyle name="▲_設備投資予算（付加価値G）4" xfId="1857" xr:uid="{00000000-0005-0000-0000-00000C0A0000}"/>
    <cellStyle name="▲_専務診断報告資料(05.03.30)xls" xfId="1858" xr:uid="{00000000-0005-0000-0000-00000D0A0000}"/>
    <cellStyle name="▲_専務診断報告資料（０６年３月度）" xfId="1859" xr:uid="{00000000-0005-0000-0000-00000E0A0000}"/>
    <cellStyle name="▲_狙いの価格070416" xfId="1860" xr:uid="{00000000-0005-0000-0000-00000F0A0000}"/>
    <cellStyle name="▲_組織図（07年5月23日）" xfId="1861" xr:uid="{00000000-0005-0000-0000-0000100A0000}"/>
    <cellStyle name="▲_組織図（07年5月24日）" xfId="1862" xr:uid="{00000000-0005-0000-0000-0000110A0000}"/>
    <cellStyle name="▲_組織表案" xfId="1863" xr:uid="{00000000-0005-0000-0000-0000120A0000}"/>
    <cellStyle name="▲_組織表案 2" xfId="2804" xr:uid="{00000000-0005-0000-0000-0000130A0000}"/>
    <cellStyle name="▲_組織表案 3" xfId="5293" xr:uid="{00000000-0005-0000-0000-0000140A0000}"/>
    <cellStyle name="▲_組織表案_《PL枠》12年度目指すべき姿" xfId="1864" xr:uid="{00000000-0005-0000-0000-0000150A0000}"/>
    <cellStyle name="▲_組織表案_《PL枠》12年度目指すべき姿 2" xfId="5695" xr:uid="{00000000-0005-0000-0000-0000160A0000}"/>
    <cellStyle name="▲_組織表案_《ベルスク２》12年度目指すべき姿" xfId="1865" xr:uid="{00000000-0005-0000-0000-0000170A0000}"/>
    <cellStyle name="▲_組織表案_《ベルスク２》12年度目指すべき姿 2" xfId="5696" xr:uid="{00000000-0005-0000-0000-0000180A0000}"/>
    <cellStyle name="▲_組織表案_【0907ライン別現象別比較】" xfId="1866" xr:uid="{00000000-0005-0000-0000-0000190A0000}"/>
    <cellStyle name="▲_組織表案_【技术课题】" xfId="3566" xr:uid="{00000000-0005-0000-0000-00001A0A0000}"/>
    <cellStyle name="▲_組織表案_【品質保証レベル（外観含み）】（製造課定義）xls" xfId="1867" xr:uid="{00000000-0005-0000-0000-00001B0A0000}"/>
    <cellStyle name="▲_組織表案_【品質保証レベル】（製造課定義）xls" xfId="1868" xr:uid="{00000000-0005-0000-0000-00001C0A0000}"/>
    <cellStyle name="▲_組織表案_【品質保証レベル向上（まとめ）】" xfId="1869" xr:uid="{00000000-0005-0000-0000-00001D0A0000}"/>
    <cellStyle name="▲_組織表案_【有賀】09なし 間違い方策展開系統図 " xfId="1870" xr:uid="{00000000-0005-0000-0000-00001E0A0000}"/>
    <cellStyle name="▲_組織表案_★第三製造部０８年度方針-5 1（正式版） (12)" xfId="3567" xr:uid="{00000000-0005-0000-0000-00001F0A0000}"/>
    <cellStyle name="▲_組織表案_0703原価管理（内作）" xfId="3568" xr:uid="{00000000-0005-0000-0000-0000200A0000}"/>
    <cellStyle name="▲_組織表案_0704原価管理（内作）" xfId="3569" xr:uid="{00000000-0005-0000-0000-0000210A0000}"/>
    <cellStyle name="▲_組織表案_0707原価管理（内作）" xfId="3570" xr:uid="{00000000-0005-0000-0000-0000220A0000}"/>
    <cellStyle name="▲_組織表案_0708原価管理（内作）" xfId="3571" xr:uid="{00000000-0005-0000-0000-0000230A0000}"/>
    <cellStyle name="▲_組織表案_0710原価管理（内作）" xfId="3572" xr:uid="{00000000-0005-0000-0000-0000240A0000}"/>
    <cellStyle name="▲_組織表案_07年7-08年1月不良请求整理." xfId="3573" xr:uid="{00000000-0005-0000-0000-0000250A0000}"/>
    <cellStyle name="▲_組織表案_08下期工作方向" xfId="3574" xr:uid="{00000000-0005-0000-0000-0000260A0000}"/>
    <cellStyle name="▲_組織表案_08方针" xfId="3575" xr:uid="{00000000-0005-0000-0000-0000270A0000}"/>
    <cellStyle name="▲_組織表案_0918集約率" xfId="1871" xr:uid="{00000000-0005-0000-0000-0000280A0000}"/>
    <cellStyle name="▲_組織表案_09年第三制造方针书09-8.2" xfId="3576" xr:uid="{00000000-0005-0000-0000-0000290A0000}"/>
    <cellStyle name="▲_組織表案_09年第三制造方针书09-8.2 2" xfId="5410" xr:uid="{00000000-0005-0000-0000-00002A0A0000}"/>
    <cellStyle name="▲_組織表案_09年第三制造方针书09-8.2 2 2" xfId="5876" xr:uid="{00000000-0005-0000-0000-00002B0A0000}"/>
    <cellStyle name="▲_組織表案_09年第三制造方针书09-8.2 2 2 2" xfId="6586" xr:uid="{00000000-0005-0000-0000-00002C0A0000}"/>
    <cellStyle name="▲_組織表案_09年第三制造方针书09-8.2 2 3" xfId="6442" xr:uid="{00000000-0005-0000-0000-00002D0A0000}"/>
    <cellStyle name="▲_組織表案_09年第三制造方针书09-8.2 3" xfId="5802" xr:uid="{00000000-0005-0000-0000-00002E0A0000}"/>
    <cellStyle name="▲_組織表案_09年第三制造方针书09-8.2 3 2" xfId="6514" xr:uid="{00000000-0005-0000-0000-00002F0A0000}"/>
    <cellStyle name="▲_組織表案_09年第三制造方针书09-8.2 4" xfId="5948" xr:uid="{00000000-0005-0000-0000-0000300A0000}"/>
    <cellStyle name="▲_組織表案_12年度本部長診断現場報告ドア枠" xfId="1872" xr:uid="{00000000-0005-0000-0000-0000310A0000}"/>
    <cellStyle name="▲_組織表案_12年度本部長診断現場報告ドア枠 2" xfId="5697" xr:uid="{00000000-0005-0000-0000-0000320A0000}"/>
    <cellStyle name="▲_組織表案_2012年度 保全担当者資料" xfId="1873" xr:uid="{00000000-0005-0000-0000-0000330A0000}"/>
    <cellStyle name="▲_組織表案_2012年度 保全担当者資料 2" xfId="5698" xr:uid="{00000000-0005-0000-0000-0000340A0000}"/>
    <cellStyle name="▲_組織表案_35回品質実践研テーマ" xfId="1874" xr:uid="{00000000-0005-0000-0000-0000350A0000}"/>
    <cellStyle name="▲_組織表案_35回品質実践研テーマ 2" xfId="5386" xr:uid="{00000000-0005-0000-0000-0000360A0000}"/>
    <cellStyle name="▲_組織表案_Book2" xfId="3577" xr:uid="{00000000-0005-0000-0000-0000370A0000}"/>
    <cellStyle name="▲_組織表案_FA" xfId="1875" xr:uid="{00000000-0005-0000-0000-0000380A0000}"/>
    <cellStyle name="▲_組織表案_FA 2" xfId="5699" xr:uid="{00000000-0005-0000-0000-0000390A0000}"/>
    <cellStyle name="▲_組織表案_MQAカード" xfId="1876" xr:uid="{00000000-0005-0000-0000-00003A0A0000}"/>
    <cellStyle name="▲_組織表案_MQAカード 2" xfId="5700" xr:uid="{00000000-0005-0000-0000-00003B0A0000}"/>
    <cellStyle name="▲_組織表案_TOPS実践スケジュール（土浦_K" xfId="1877" xr:uid="{00000000-0005-0000-0000-00003C0A0000}"/>
    <cellStyle name="▲_組織表案_コピー ～ 製造工程まとめ" xfId="3578" xr:uid="{00000000-0005-0000-0000-00003D0A0000}"/>
    <cellStyle name="▲_組織表案_ページ1" xfId="1878" xr:uid="{00000000-0005-0000-0000-00003E0A0000}"/>
    <cellStyle name="▲_組織表案_ページ1 2" xfId="5701" xr:uid="{00000000-0005-0000-0000-00003F0A0000}"/>
    <cellStyle name="▲_組織表案_リシェントＴＯＰＳ" xfId="1879" xr:uid="{00000000-0005-0000-0000-0000400A0000}"/>
    <cellStyle name="▲_組織表案_リシェントＴＯＰＳ 2" xfId="5702" xr:uid="{00000000-0005-0000-0000-0000410A0000}"/>
    <cellStyle name="▲_組織表案_各系3个月滞留在库" xfId="3579" xr:uid="{00000000-0005-0000-0000-0000420A0000}"/>
    <cellStyle name="▲_組織表案_活動内容(13年振返り14年進め方）" xfId="1880" xr:uid="{00000000-0005-0000-0000-0000430A0000}"/>
    <cellStyle name="▲_組織表案_活動内容(13年振返り14年進め方） 2" xfId="5703" xr:uid="{00000000-0005-0000-0000-0000440A0000}"/>
    <cellStyle name="▲_組織表案_玄収扉レベル向上進捗シート" xfId="1881" xr:uid="{00000000-0005-0000-0000-0000450A0000}"/>
    <cellStyle name="▲_組織表案_工場長診断ドア" xfId="1882" xr:uid="{00000000-0005-0000-0000-0000460A0000}"/>
    <cellStyle name="▲_組織表案_住器課方針実績" xfId="3580" xr:uid="{00000000-0005-0000-0000-0000470A0000}"/>
    <cellStyle name="▲_組織表案_住器課方針実績 2" xfId="5411" xr:uid="{00000000-0005-0000-0000-0000480A0000}"/>
    <cellStyle name="▲_組織表案_住器課方針実績 2 2" xfId="5877" xr:uid="{00000000-0005-0000-0000-0000490A0000}"/>
    <cellStyle name="▲_組織表案_住器課方針実績 2 2 2" xfId="6587" xr:uid="{00000000-0005-0000-0000-00004A0A0000}"/>
    <cellStyle name="▲_組織表案_住器課方針実績 2 3" xfId="6443" xr:uid="{00000000-0005-0000-0000-00004B0A0000}"/>
    <cellStyle name="▲_組織表案_住器課方針実績 3" xfId="5803" xr:uid="{00000000-0005-0000-0000-00004C0A0000}"/>
    <cellStyle name="▲_組織表案_住器課方針実績 3 2" xfId="6515" xr:uid="{00000000-0005-0000-0000-00004D0A0000}"/>
    <cellStyle name="▲_組織表案_住器課方針実績 4" xfId="5949" xr:uid="{00000000-0005-0000-0000-00004E0A0000}"/>
    <cellStyle name="▲_組織表案_住器课方針実績" xfId="3581" xr:uid="{00000000-0005-0000-0000-00004F0A0000}"/>
    <cellStyle name="▲_組織表案_住器课方針実績 2" xfId="5412" xr:uid="{00000000-0005-0000-0000-0000500A0000}"/>
    <cellStyle name="▲_組織表案_住器课方針実績 2 2" xfId="5878" xr:uid="{00000000-0005-0000-0000-0000510A0000}"/>
    <cellStyle name="▲_組織表案_住器课方針実績 2 2 2" xfId="6588" xr:uid="{00000000-0005-0000-0000-0000520A0000}"/>
    <cellStyle name="▲_組織表案_住器课方針実績 2 3" xfId="6444" xr:uid="{00000000-0005-0000-0000-0000530A0000}"/>
    <cellStyle name="▲_組織表案_住器课方針実績 3" xfId="5804" xr:uid="{00000000-0005-0000-0000-0000540A0000}"/>
    <cellStyle name="▲_組織表案_住器课方針実績 3 2" xfId="6516" xr:uid="{00000000-0005-0000-0000-0000550A0000}"/>
    <cellStyle name="▲_組織表案_住器课方針実績 4" xfId="5950" xr:uid="{00000000-0005-0000-0000-0000560A0000}"/>
    <cellStyle name="▲_組織表案_新方策表" xfId="3582" xr:uid="{00000000-0005-0000-0000-0000570A0000}"/>
    <cellStyle name="▲_組織表案_新方策表 2" xfId="5413" xr:uid="{00000000-0005-0000-0000-0000580A0000}"/>
    <cellStyle name="▲_組織表案_新方策表 2 2" xfId="5879" xr:uid="{00000000-0005-0000-0000-0000590A0000}"/>
    <cellStyle name="▲_組織表案_新方策表 2 2 2" xfId="6589" xr:uid="{00000000-0005-0000-0000-00005A0A0000}"/>
    <cellStyle name="▲_組織表案_新方策表 2 3" xfId="6445" xr:uid="{00000000-0005-0000-0000-00005B0A0000}"/>
    <cellStyle name="▲_組織表案_新方策表 3" xfId="5805" xr:uid="{00000000-0005-0000-0000-00005C0A0000}"/>
    <cellStyle name="▲_組織表案_新方策表 3 2" xfId="6517" xr:uid="{00000000-0005-0000-0000-00005D0A0000}"/>
    <cellStyle name="▲_組織表案_新方策表 4" xfId="5951" xr:uid="{00000000-0005-0000-0000-00005E0A0000}"/>
    <cellStyle name="▲_組織表案_進捗確認フォーマット" xfId="1883" xr:uid="{00000000-0005-0000-0000-00005F0A0000}"/>
    <cellStyle name="▲_組織表案_進捗確認フォーマット 2" xfId="5704" xr:uid="{00000000-0005-0000-0000-0000600A0000}"/>
    <cellStyle name="▲_組織表案_制造部新技   （10年）  2月5日) " xfId="3583" xr:uid="{00000000-0005-0000-0000-0000610A0000}"/>
    <cellStyle name="▲_組織表案_制造部新技（09年）一表" xfId="3584" xr:uid="{00000000-0005-0000-0000-0000620A0000}"/>
    <cellStyle name="▲_組織表案_生产性达成率" xfId="3585" xr:uid="{00000000-0005-0000-0000-0000630A0000}"/>
    <cellStyle name="▲_組織表案_第33回品質実践研テーマ" xfId="1884" xr:uid="{00000000-0005-0000-0000-0000640A0000}"/>
    <cellStyle name="▲_組織表案_第34回品質実践研テーマ" xfId="1885" xr:uid="{00000000-0005-0000-0000-0000650A0000}"/>
    <cellStyle name="▲_組織表案_第34回品質実践研テーマ 2" xfId="5387" xr:uid="{00000000-0005-0000-0000-0000660A0000}"/>
    <cellStyle name="▲_組織表案_第36回品質実践研テーマ" xfId="1886" xr:uid="{00000000-0005-0000-0000-0000670A0000}"/>
    <cellStyle name="▲_組織表案_第36回品質実践研テーマ 2" xfId="5388" xr:uid="{00000000-0005-0000-0000-0000680A0000}"/>
    <cellStyle name="▲_組織表案_第37回品質実践件テーマ（玄収扉）" xfId="1887" xr:uid="{00000000-0005-0000-0000-0000690A0000}"/>
    <cellStyle name="▲_組織表案_第37回品質実践件テーマ（玄収扉） 2" xfId="5389" xr:uid="{00000000-0005-0000-0000-00006A0A0000}"/>
    <cellStyle name="▲_組織表案_第37回品質実践研テーマ" xfId="1888" xr:uid="{00000000-0005-0000-0000-00006B0A0000}"/>
    <cellStyle name="▲_組織表案_第37回品質実践研テーマ 2" xfId="5390" xr:uid="{00000000-0005-0000-0000-00006C0A0000}"/>
    <cellStyle name="▲_組織表案_第38回品質実践研テーマ" xfId="1889" xr:uid="{00000000-0005-0000-0000-00006D0A0000}"/>
    <cellStyle name="▲_組織表案_第38回品質実践研テーマ 2" xfId="5391" xr:uid="{00000000-0005-0000-0000-00006E0A0000}"/>
    <cellStyle name="▲_組織表案_第39回品質実践研テーマ（クロ本体）" xfId="1890" xr:uid="{00000000-0005-0000-0000-00006F0A0000}"/>
    <cellStyle name="▲_組織表案_第39回品質実践研テーマ（クロ本体） 2" xfId="5392" xr:uid="{00000000-0005-0000-0000-0000700A0000}"/>
    <cellStyle name="▲_組織表案_第40回品質実践研テーマ" xfId="1891" xr:uid="{00000000-0005-0000-0000-0000710A0000}"/>
    <cellStyle name="▲_組織表案_第40回品質実践研テーマ 2" xfId="5393" xr:uid="{00000000-0005-0000-0000-0000720A0000}"/>
    <cellStyle name="▲_組織表案_第４１回品質実践研（養生）" xfId="1892" xr:uid="{00000000-0005-0000-0000-0000730A0000}"/>
    <cellStyle name="▲_組織表案_第４１回品質実践研（養生） 2" xfId="5394" xr:uid="{00000000-0005-0000-0000-0000740A0000}"/>
    <cellStyle name="▲_組織表案_第41回品質実践研テーマ（玄収扉）" xfId="1893" xr:uid="{00000000-0005-0000-0000-0000750A0000}"/>
    <cellStyle name="▲_組織表案_第41回品質実践研テーマ（玄収扉） 2" xfId="5395" xr:uid="{00000000-0005-0000-0000-0000760A0000}"/>
    <cellStyle name="▲_組織表案_第三制造部布局２００９" xfId="3586" xr:uid="{00000000-0005-0000-0000-0000770A0000}"/>
    <cellStyle name="▲_組織表案_内作課08方針書080214" xfId="3587" xr:uid="{00000000-0005-0000-0000-0000780A0000}"/>
    <cellStyle name="▲_組織表案_内作課2007年度方針0704修訂" xfId="3588" xr:uid="{00000000-0005-0000-0000-0000790A0000}"/>
    <cellStyle name="▲_組織表案_内作課方針実績07.3.16" xfId="3589" xr:uid="{00000000-0005-0000-0000-00007A0A0000}"/>
    <cellStyle name="▲_組織表案_内作課方針実績07.3.16 2" xfId="5414" xr:uid="{00000000-0005-0000-0000-00007B0A0000}"/>
    <cellStyle name="▲_組織表案_内作課方針実績07.3.16 2 2" xfId="5880" xr:uid="{00000000-0005-0000-0000-00007C0A0000}"/>
    <cellStyle name="▲_組織表案_内作課方針実績07.3.16 2 2 2" xfId="6590" xr:uid="{00000000-0005-0000-0000-00007D0A0000}"/>
    <cellStyle name="▲_組織表案_内作課方針実績07.3.16 2 3" xfId="6446" xr:uid="{00000000-0005-0000-0000-00007E0A0000}"/>
    <cellStyle name="▲_組織表案_内作課方針実績07.3.16 3" xfId="5806" xr:uid="{00000000-0005-0000-0000-00007F0A0000}"/>
    <cellStyle name="▲_組織表案_内作課方針実績07.3.16 3 2" xfId="6518" xr:uid="{00000000-0005-0000-0000-0000800A0000}"/>
    <cellStyle name="▲_組織表案_内作課方針実績07.3.16 4" xfId="5952" xr:uid="{00000000-0005-0000-0000-0000810A0000}"/>
    <cellStyle name="▲_組織表案_班长方策展开" xfId="3590" xr:uid="{00000000-0005-0000-0000-0000820A0000}"/>
    <cellStyle name="▲_組織表案_扉不良の把握及び対策" xfId="3591" xr:uid="{00000000-0005-0000-0000-0000830A0000}"/>
    <cellStyle name="▲_組織表案_品質レベル（ドア枠Ｂ）" xfId="1894" xr:uid="{00000000-0005-0000-0000-0000840A0000}"/>
    <cellStyle name="▲_組織表案_品質レベル（ドア枠Ｂ） 2" xfId="5396" xr:uid="{00000000-0005-0000-0000-0000850A0000}"/>
    <cellStyle name="▲_組織表案_方針実績達成状況" xfId="3592" xr:uid="{00000000-0005-0000-0000-0000860A0000}"/>
    <cellStyle name="▲_組織表案_方針実績達成状況 2" xfId="5415" xr:uid="{00000000-0005-0000-0000-0000870A0000}"/>
    <cellStyle name="▲_組織表案_方針実績達成状況 2 2" xfId="5881" xr:uid="{00000000-0005-0000-0000-0000880A0000}"/>
    <cellStyle name="▲_組織表案_方針実績達成状況 2 2 2" xfId="6591" xr:uid="{00000000-0005-0000-0000-0000890A0000}"/>
    <cellStyle name="▲_組織表案_方針実績達成状況 2 3" xfId="6447" xr:uid="{00000000-0005-0000-0000-00008A0A0000}"/>
    <cellStyle name="▲_組織表案_方針実績達成状況 3" xfId="5807" xr:uid="{00000000-0005-0000-0000-00008B0A0000}"/>
    <cellStyle name="▲_組織表案_方針実績達成状況 3 2" xfId="6519" xr:uid="{00000000-0005-0000-0000-00008C0A0000}"/>
    <cellStyle name="▲_組織表案_方針実績達成状況 4" xfId="5953" xr:uid="{00000000-0005-0000-0000-00008D0A0000}"/>
    <cellStyle name="▲_組織表案_本部長診断会ドア" xfId="1895" xr:uid="{00000000-0005-0000-0000-00008E0A0000}"/>
    <cellStyle name="▲_組織表案_目指す姿" xfId="1896" xr:uid="{00000000-0005-0000-0000-00008F0A0000}"/>
    <cellStyle name="▲_組織表案_目指す姿 2" xfId="5705" xr:uid="{00000000-0005-0000-0000-0000900A0000}"/>
    <cellStyle name="▲_組織表案_树脂系整体图" xfId="3593" xr:uid="{00000000-0005-0000-0000-0000910A0000}"/>
    <cellStyle name="▲_組織変更（０８０３０１） (2)" xfId="3594" xr:uid="{00000000-0005-0000-0000-0000920A0000}"/>
    <cellStyle name="▲_組織変更（０８０３０１） (2) 2" xfId="3595" xr:uid="{00000000-0005-0000-0000-0000930A0000}"/>
    <cellStyle name="▲_組織変更（０８０３０１） (2) 2 2" xfId="3596" xr:uid="{00000000-0005-0000-0000-0000940A0000}"/>
    <cellStyle name="▲_組織変更（０８０３０１） (2) 2 2 2" xfId="3597" xr:uid="{00000000-0005-0000-0000-0000950A0000}"/>
    <cellStyle name="▲_組織変更（０８０３０１） (2) 2 2 2 2" xfId="3598" xr:uid="{00000000-0005-0000-0000-0000960A0000}"/>
    <cellStyle name="▲_組織変更（０８０３０１） (2) 2 2 3" xfId="3599" xr:uid="{00000000-0005-0000-0000-0000970A0000}"/>
    <cellStyle name="▲_組織変更（０８０３０１） (2) 2 2 3 2" xfId="3600" xr:uid="{00000000-0005-0000-0000-0000980A0000}"/>
    <cellStyle name="▲_組織変更（０８０３０１） (2) 2 2 3 2 2" xfId="3601" xr:uid="{00000000-0005-0000-0000-0000990A0000}"/>
    <cellStyle name="▲_組織変更（０８０３０１） (2) 2 2 3 3" xfId="3602" xr:uid="{00000000-0005-0000-0000-00009A0A0000}"/>
    <cellStyle name="▲_組織変更（０８０３０１） (2) 2 2 4" xfId="3603" xr:uid="{00000000-0005-0000-0000-00009B0A0000}"/>
    <cellStyle name="▲_組織変更（０８０３０１） (2) 2 3" xfId="3604" xr:uid="{00000000-0005-0000-0000-00009C0A0000}"/>
    <cellStyle name="▲_組織変更（０８０３０１） (2) 3" xfId="3605" xr:uid="{00000000-0005-0000-0000-00009D0A0000}"/>
    <cellStyle name="▲_相关数据（改定）" xfId="3606" xr:uid="{00000000-0005-0000-0000-00009E0A0000}"/>
    <cellStyle name="▲_相关数据（改定） 2" xfId="3607" xr:uid="{00000000-0005-0000-0000-00009F0A0000}"/>
    <cellStyle name="▲_相关数据（改定） 2 2" xfId="3608" xr:uid="{00000000-0005-0000-0000-0000A00A0000}"/>
    <cellStyle name="▲_相关数据（改定） 2 2 2" xfId="3609" xr:uid="{00000000-0005-0000-0000-0000A10A0000}"/>
    <cellStyle name="▲_相关数据（改定） 2 2 2 2" xfId="3610" xr:uid="{00000000-0005-0000-0000-0000A20A0000}"/>
    <cellStyle name="▲_相关数据（改定） 2 2 3" xfId="3611" xr:uid="{00000000-0005-0000-0000-0000A30A0000}"/>
    <cellStyle name="▲_相关数据（改定） 2 2 3 2" xfId="3612" xr:uid="{00000000-0005-0000-0000-0000A40A0000}"/>
    <cellStyle name="▲_相关数据（改定） 2 2 3 2 2" xfId="3613" xr:uid="{00000000-0005-0000-0000-0000A50A0000}"/>
    <cellStyle name="▲_相关数据（改定） 2 2 3 3" xfId="3614" xr:uid="{00000000-0005-0000-0000-0000A60A0000}"/>
    <cellStyle name="▲_相关数据（改定） 2 2 4" xfId="3615" xr:uid="{00000000-0005-0000-0000-0000A70A0000}"/>
    <cellStyle name="▲_相关数据（改定） 2 3" xfId="3616" xr:uid="{00000000-0005-0000-0000-0000A80A0000}"/>
    <cellStyle name="▲_相关数据（改定） 3" xfId="3617" xr:uid="{00000000-0005-0000-0000-0000A90A0000}"/>
    <cellStyle name="▲_総評" xfId="1897" xr:uid="{00000000-0005-0000-0000-0000AA0A0000}"/>
    <cellStyle name="▲_大連メンバー水戸研修計画案" xfId="1898" xr:uid="{00000000-0005-0000-0000-0000AB0A0000}"/>
    <cellStyle name="▲_大連委託進捗会" xfId="3618" xr:uid="{00000000-0005-0000-0000-0000AC0A0000}"/>
    <cellStyle name="▲_大連委託進捗会 2" xfId="3619" xr:uid="{00000000-0005-0000-0000-0000AD0A0000}"/>
    <cellStyle name="▲_大連委託進捗会 2 2" xfId="3620" xr:uid="{00000000-0005-0000-0000-0000AE0A0000}"/>
    <cellStyle name="▲_大連委託進捗会 3" xfId="3621" xr:uid="{00000000-0005-0000-0000-0000AF0A0000}"/>
    <cellStyle name="▲_大連委託進捗会 3 2" xfId="3622" xr:uid="{00000000-0005-0000-0000-0000B00A0000}"/>
    <cellStyle name="▲_大連委託進捗会 3 2 2" xfId="3623" xr:uid="{00000000-0005-0000-0000-0000B10A0000}"/>
    <cellStyle name="▲_大連委託進捗会 3 3" xfId="3624" xr:uid="{00000000-0005-0000-0000-0000B20A0000}"/>
    <cellStyle name="▲_大連委託進捗会 4" xfId="3625" xr:uid="{00000000-0005-0000-0000-0000B30A0000}"/>
    <cellStyle name="▲_第33回品質実践研テーマ" xfId="1899" xr:uid="{00000000-0005-0000-0000-0000B40A0000}"/>
    <cellStyle name="▲_第34回品質実践研テーマ" xfId="1900" xr:uid="{00000000-0005-0000-0000-0000B50A0000}"/>
    <cellStyle name="▲_第36回品質実践研テーマ" xfId="1901" xr:uid="{00000000-0005-0000-0000-0000B60A0000}"/>
    <cellStyle name="▲_第37回品質実践件テーマ（玄収扉）" xfId="1902" xr:uid="{00000000-0005-0000-0000-0000B70A0000}"/>
    <cellStyle name="▲_第37回品質実践研テーマ" xfId="1903" xr:uid="{00000000-0005-0000-0000-0000B80A0000}"/>
    <cellStyle name="▲_第38回品質実践研テーマ" xfId="1904" xr:uid="{00000000-0005-0000-0000-0000B90A0000}"/>
    <cellStyle name="▲_第39回品質実践研テーマ（クロ本体）" xfId="1905" xr:uid="{00000000-0005-0000-0000-0000BA0A0000}"/>
    <cellStyle name="▲_第40回品質実践研テーマ" xfId="1906" xr:uid="{00000000-0005-0000-0000-0000BB0A0000}"/>
    <cellStyle name="▲_第４１回品質実践研（養生）" xfId="1907" xr:uid="{00000000-0005-0000-0000-0000BC0A0000}"/>
    <cellStyle name="▲_第41回品質実践研テーマ（玄収扉）" xfId="1908" xr:uid="{00000000-0005-0000-0000-0000BD0A0000}"/>
    <cellStyle name="▲_第三制造部布局２００９" xfId="3626" xr:uid="{00000000-0005-0000-0000-0000BE0A0000}"/>
    <cellStyle name="▲_第三製造部" xfId="3627" xr:uid="{00000000-0005-0000-0000-0000BF0A0000}"/>
    <cellStyle name="▲_短期方針書" xfId="98" xr:uid="{00000000-0005-0000-0000-0000C00A0000}"/>
    <cellStyle name="▲_短期方針書 2" xfId="3628" xr:uid="{00000000-0005-0000-0000-0000C10A0000}"/>
    <cellStyle name="▲_短期方針書 2 2" xfId="3629" xr:uid="{00000000-0005-0000-0000-0000C20A0000}"/>
    <cellStyle name="▲_短期方針書 3" xfId="3630" xr:uid="{00000000-0005-0000-0000-0000C30A0000}"/>
    <cellStyle name="▲_短期方針書 3 2" xfId="3631" xr:uid="{00000000-0005-0000-0000-0000C40A0000}"/>
    <cellStyle name="▲_短期方針書 3 2 2" xfId="3632" xr:uid="{00000000-0005-0000-0000-0000C50A0000}"/>
    <cellStyle name="▲_短期方針書 3 3" xfId="3633" xr:uid="{00000000-0005-0000-0000-0000C60A0000}"/>
    <cellStyle name="▲_短期方針書 4" xfId="3634" xr:uid="{00000000-0005-0000-0000-0000C70A0000}"/>
    <cellStyle name="▲_短期方針書_(SR海外)_工程台帳" xfId="1909" xr:uid="{00000000-0005-0000-0000-0000C80A0000}"/>
    <cellStyle name="▲_短期方針書_(SR海外)_工程台帳 2" xfId="5706" xr:uid="{00000000-0005-0000-0000-0000C90A0000}"/>
    <cellStyle name="▲_短期方針書_《PL枠》12年度目指すべき姿" xfId="1910" xr:uid="{00000000-0005-0000-0000-0000CA0A0000}"/>
    <cellStyle name="▲_短期方針書_《PL枠》12年度目指すべき姿 2" xfId="5707" xr:uid="{00000000-0005-0000-0000-0000CB0A0000}"/>
    <cellStyle name="▲_短期方針書_《ベルスク２》12年度目指すべき姿" xfId="1911" xr:uid="{00000000-0005-0000-0000-0000CC0A0000}"/>
    <cellStyle name="▲_短期方針書_《ベルスク２》12年度目指すべき姿 2" xfId="5708" xr:uid="{00000000-0005-0000-0000-0000CD0A0000}"/>
    <cellStyle name="▲_短期方針書_【0907ライン別現象別比較】" xfId="1912" xr:uid="{00000000-0005-0000-0000-0000CE0A0000}"/>
    <cellStyle name="▲_短期方針書_【清水B】11年度フォローシート【品質】" xfId="1913" xr:uid="{00000000-0005-0000-0000-0000CF0A0000}"/>
    <cellStyle name="▲_短期方針書_【品質保証レベル（外観含み）】（製造課定義）xls" xfId="1914" xr:uid="{00000000-0005-0000-0000-0000D00A0000}"/>
    <cellStyle name="▲_短期方針書_【品質保証レベル向上（まとめ）】" xfId="1915" xr:uid="{00000000-0005-0000-0000-0000D10A0000}"/>
    <cellStyle name="▲_短期方針書_【有賀】09なし 間違い方策展開系統図 " xfId="1916" xr:uid="{00000000-0005-0000-0000-0000D20A0000}"/>
    <cellStyle name="▲_短期方針書_■【12ライン別】製造原価率推移グラフ" xfId="1917" xr:uid="{00000000-0005-0000-0000-0000D30A0000}"/>
    <cellStyle name="▲_短期方針書_０５年度方針実績" xfId="1918" xr:uid="{00000000-0005-0000-0000-0000D40A0000}"/>
    <cellStyle name="▲_短期方針書_110706【清水Ｂ品質保証レベル向上進捗シート】xls" xfId="1919" xr:uid="{00000000-0005-0000-0000-0000D50A0000}"/>
    <cellStyle name="▲_短期方針書_12年度本部長診断現場報告ドア枠" xfId="1920" xr:uid="{00000000-0005-0000-0000-0000D60A0000}"/>
    <cellStyle name="▲_短期方針書_12年度本部長診断現場報告ドア枠 2" xfId="5709" xr:uid="{00000000-0005-0000-0000-0000D70A0000}"/>
    <cellStyle name="▲_短期方針書_13年度上期生産性計画" xfId="1921" xr:uid="{00000000-0005-0000-0000-0000D80A0000}"/>
    <cellStyle name="▲_短期方針書_13年度反省書(SR係)" xfId="1922" xr:uid="{00000000-0005-0000-0000-0000D90A0000}"/>
    <cellStyle name="▲_短期方針書_35回品質実践研テーマ" xfId="1923" xr:uid="{00000000-0005-0000-0000-0000DA0A0000}"/>
    <cellStyle name="▲_短期方針書_ＢＰ説明資料" xfId="1924" xr:uid="{00000000-0005-0000-0000-0000DB0A0000}"/>
    <cellStyle name="▲_短期方針書_FA" xfId="1925" xr:uid="{00000000-0005-0000-0000-0000DC0A0000}"/>
    <cellStyle name="▲_短期方針書_FA 2" xfId="5710" xr:uid="{00000000-0005-0000-0000-0000DD0A0000}"/>
    <cellStyle name="▲_短期方針書_Ｈ改善ＳＨ" xfId="1926" xr:uid="{00000000-0005-0000-0000-0000DE0A0000}"/>
    <cellStyle name="▲_短期方針書_TOPS実践スケジュール（土浦_K" xfId="1927" xr:uid="{00000000-0005-0000-0000-0000DF0A0000}"/>
    <cellStyle name="▲_短期方針書_ページ1" xfId="1928" xr:uid="{00000000-0005-0000-0000-0000E00A0000}"/>
    <cellStyle name="▲_短期方針書_ページ1 2" xfId="5711" xr:uid="{00000000-0005-0000-0000-0000E10A0000}"/>
    <cellStyle name="▲_短期方針書_リシェントＴＯＰＳ" xfId="1929" xr:uid="{00000000-0005-0000-0000-0000E20A0000}"/>
    <cellStyle name="▲_短期方針書_リシェントＴＯＰＳ 2" xfId="5712" xr:uid="{00000000-0005-0000-0000-0000E30A0000}"/>
    <cellStyle name="▲_短期方針書_活動内容(13年振返り14年進め方）" xfId="1930" xr:uid="{00000000-0005-0000-0000-0000E40A0000}"/>
    <cellStyle name="▲_短期方針書_活動内容(13年振返り14年進め方） 2" xfId="5713" xr:uid="{00000000-0005-0000-0000-0000E50A0000}"/>
    <cellStyle name="▲_短期方針書_管轄ﾗｲﾝ構成1" xfId="1931" xr:uid="{00000000-0005-0000-0000-0000E60A0000}"/>
    <cellStyle name="▲_短期方針書_工場長診断ドア" xfId="1932" xr:uid="{00000000-0005-0000-0000-0000E70A0000}"/>
    <cellStyle name="▲_短期方針書_神奈川工務体制" xfId="1933" xr:uid="{00000000-0005-0000-0000-0000E80A0000}"/>
    <cellStyle name="▲_短期方針書_設技12-004" xfId="1934" xr:uid="{00000000-0005-0000-0000-0000E90A0000}"/>
    <cellStyle name="▲_短期方針書_専務診断報告資料(05.03.30)xls" xfId="1935" xr:uid="{00000000-0005-0000-0000-0000EA0A0000}"/>
    <cellStyle name="▲_短期方針書_専務診断報告資料（０６年３月度）" xfId="1936" xr:uid="{00000000-0005-0000-0000-0000EB0A0000}"/>
    <cellStyle name="▲_短期方針書_第33回品質実践研テーマ" xfId="1937" xr:uid="{00000000-0005-0000-0000-0000EC0A0000}"/>
    <cellStyle name="▲_短期方針書_第34回品質実践研テーマ" xfId="1938" xr:uid="{00000000-0005-0000-0000-0000ED0A0000}"/>
    <cellStyle name="▲_短期方針書_第36回品質実践研テーマ" xfId="1939" xr:uid="{00000000-0005-0000-0000-0000EE0A0000}"/>
    <cellStyle name="▲_短期方針書_第37回品質実践件テーマ（玄収扉）" xfId="1940" xr:uid="{00000000-0005-0000-0000-0000EF0A0000}"/>
    <cellStyle name="▲_短期方針書_第37回品質実践研テーマ" xfId="1941" xr:uid="{00000000-0005-0000-0000-0000F00A0000}"/>
    <cellStyle name="▲_短期方針書_第38回品質実践研テーマ" xfId="1942" xr:uid="{00000000-0005-0000-0000-0000F10A0000}"/>
    <cellStyle name="▲_短期方針書_第39回品質実践研テーマ（クロ本体）" xfId="1943" xr:uid="{00000000-0005-0000-0000-0000F20A0000}"/>
    <cellStyle name="▲_短期方針書_第40回品質実践研テーマ" xfId="1944" xr:uid="{00000000-0005-0000-0000-0000F30A0000}"/>
    <cellStyle name="▲_短期方針書_第４１回品質実践研（養生）" xfId="1945" xr:uid="{00000000-0005-0000-0000-0000F40A0000}"/>
    <cellStyle name="▲_短期方針書_第41回品質実践研テーマ（玄収扉）" xfId="1946" xr:uid="{00000000-0005-0000-0000-0000F50A0000}"/>
    <cellStyle name="▲_短期方針書_品質レベル（ドア枠Ｂ）" xfId="1947" xr:uid="{00000000-0005-0000-0000-0000F60A0000}"/>
    <cellStyle name="▲_短期方針書_本部長診断会ドア" xfId="1948" xr:uid="{00000000-0005-0000-0000-0000F70A0000}"/>
    <cellStyle name="▲_端材低減活動." xfId="3635" xr:uid="{00000000-0005-0000-0000-0000F80A0000}"/>
    <cellStyle name="▲_中パネル 標準作業票" xfId="1949" xr:uid="{00000000-0005-0000-0000-0000F90A0000}"/>
    <cellStyle name="▲_賃貸住宅向け強化　開発パスポート（照合04）掛率変更前（ﾄﾞｱ引戸防湿紙有）原価見直し③" xfId="1950" xr:uid="{00000000-0005-0000-0000-0000FA0A0000}"/>
    <cellStyle name="▲_提案（意思決定会議報告資料）" xfId="1951" xr:uid="{00000000-0005-0000-0000-0000FB0A0000}"/>
    <cellStyle name="▲_読切り表" xfId="99" xr:uid="{00000000-0005-0000-0000-0000FC0A0000}"/>
    <cellStyle name="▲_読切り表 2" xfId="3636" xr:uid="{00000000-0005-0000-0000-0000FD0A0000}"/>
    <cellStyle name="▲_読切り表 2 2" xfId="3637" xr:uid="{00000000-0005-0000-0000-0000FE0A0000}"/>
    <cellStyle name="▲_読切り表 3" xfId="3638" xr:uid="{00000000-0005-0000-0000-0000FF0A0000}"/>
    <cellStyle name="▲_読切り表 3 2" xfId="3639" xr:uid="{00000000-0005-0000-0000-0000000B0000}"/>
    <cellStyle name="▲_読切り表 3 2 2" xfId="3640" xr:uid="{00000000-0005-0000-0000-0000010B0000}"/>
    <cellStyle name="▲_読切り表 3 3" xfId="3641" xr:uid="{00000000-0005-0000-0000-0000020B0000}"/>
    <cellStyle name="▲_読切り表 4" xfId="3642" xr:uid="{00000000-0005-0000-0000-0000030B0000}"/>
    <cellStyle name="▲_読切り表_(SR海外)_工程台帳" xfId="1952" xr:uid="{00000000-0005-0000-0000-0000040B0000}"/>
    <cellStyle name="▲_読切り表_(SR海外)_工程台帳 2" xfId="5714" xr:uid="{00000000-0005-0000-0000-0000050B0000}"/>
    <cellStyle name="▲_読切り表_《PL枠》12年度目指すべき姿" xfId="1953" xr:uid="{00000000-0005-0000-0000-0000060B0000}"/>
    <cellStyle name="▲_読切り表_《PL枠》12年度目指すべき姿 2" xfId="5715" xr:uid="{00000000-0005-0000-0000-0000070B0000}"/>
    <cellStyle name="▲_読切り表_《ベルスク２》12年度目指すべき姿" xfId="1954" xr:uid="{00000000-0005-0000-0000-0000080B0000}"/>
    <cellStyle name="▲_読切り表_《ベルスク２》12年度目指すべき姿 2" xfId="5716" xr:uid="{00000000-0005-0000-0000-0000090B0000}"/>
    <cellStyle name="▲_読切り表_【0907ライン別現象別比較】" xfId="1955" xr:uid="{00000000-0005-0000-0000-00000A0B0000}"/>
    <cellStyle name="▲_読切り表_【清水B】11年度フォローシート【品質】" xfId="1956" xr:uid="{00000000-0005-0000-0000-00000B0B0000}"/>
    <cellStyle name="▲_読切り表_【品質保証レベル（外観含み）】（製造課定義）xls" xfId="1957" xr:uid="{00000000-0005-0000-0000-00000C0B0000}"/>
    <cellStyle name="▲_読切り表_【品質保証レベル向上（まとめ）】" xfId="1958" xr:uid="{00000000-0005-0000-0000-00000D0B0000}"/>
    <cellStyle name="▲_読切り表_【有賀】09なし 間違い方策展開系統図 " xfId="1959" xr:uid="{00000000-0005-0000-0000-00000E0B0000}"/>
    <cellStyle name="▲_読切り表_■【12ライン別】製造原価率推移グラフ" xfId="1960" xr:uid="{00000000-0005-0000-0000-00000F0B0000}"/>
    <cellStyle name="▲_読切り表_０５年度方針実績" xfId="1961" xr:uid="{00000000-0005-0000-0000-0000100B0000}"/>
    <cellStyle name="▲_読切り表_110706【清水Ｂ品質保証レベル向上進捗シート】xls" xfId="1962" xr:uid="{00000000-0005-0000-0000-0000110B0000}"/>
    <cellStyle name="▲_読切り表_12年度本部長診断現場報告ドア枠" xfId="1963" xr:uid="{00000000-0005-0000-0000-0000120B0000}"/>
    <cellStyle name="▲_読切り表_12年度本部長診断現場報告ドア枠 2" xfId="5717" xr:uid="{00000000-0005-0000-0000-0000130B0000}"/>
    <cellStyle name="▲_読切り表_13年度上期生産性計画" xfId="1964" xr:uid="{00000000-0005-0000-0000-0000140B0000}"/>
    <cellStyle name="▲_読切り表_13年度反省書(SR係)" xfId="1965" xr:uid="{00000000-0005-0000-0000-0000150B0000}"/>
    <cellStyle name="▲_読切り表_35回品質実践研テーマ" xfId="1966" xr:uid="{00000000-0005-0000-0000-0000160B0000}"/>
    <cellStyle name="▲_読切り表_ＢＰ説明資料" xfId="1967" xr:uid="{00000000-0005-0000-0000-0000170B0000}"/>
    <cellStyle name="▲_読切り表_FA" xfId="1968" xr:uid="{00000000-0005-0000-0000-0000180B0000}"/>
    <cellStyle name="▲_読切り表_FA 2" xfId="5718" xr:uid="{00000000-0005-0000-0000-0000190B0000}"/>
    <cellStyle name="▲_読切り表_Ｈ改善ＳＨ" xfId="1969" xr:uid="{00000000-0005-0000-0000-00001A0B0000}"/>
    <cellStyle name="▲_読切り表_TOPS実践スケジュール（土浦_K" xfId="1970" xr:uid="{00000000-0005-0000-0000-00001B0B0000}"/>
    <cellStyle name="▲_読切り表_ページ1" xfId="1971" xr:uid="{00000000-0005-0000-0000-00001C0B0000}"/>
    <cellStyle name="▲_読切り表_ページ1 2" xfId="5719" xr:uid="{00000000-0005-0000-0000-00001D0B0000}"/>
    <cellStyle name="▲_読切り表_リシェントＴＯＰＳ" xfId="1972" xr:uid="{00000000-0005-0000-0000-00001E0B0000}"/>
    <cellStyle name="▲_読切り表_リシェントＴＯＰＳ 2" xfId="5720" xr:uid="{00000000-0005-0000-0000-00001F0B0000}"/>
    <cellStyle name="▲_読切り表_活動内容(13年振返り14年進め方）" xfId="1973" xr:uid="{00000000-0005-0000-0000-0000200B0000}"/>
    <cellStyle name="▲_読切り表_活動内容(13年振返り14年進め方） 2" xfId="5721" xr:uid="{00000000-0005-0000-0000-0000210B0000}"/>
    <cellStyle name="▲_読切り表_管轄ﾗｲﾝ構成1" xfId="1974" xr:uid="{00000000-0005-0000-0000-0000220B0000}"/>
    <cellStyle name="▲_読切り表_工場長診断ドア" xfId="1975" xr:uid="{00000000-0005-0000-0000-0000230B0000}"/>
    <cellStyle name="▲_読切り表_神奈川工務体制" xfId="1976" xr:uid="{00000000-0005-0000-0000-0000240B0000}"/>
    <cellStyle name="▲_読切り表_設技12-004" xfId="1977" xr:uid="{00000000-0005-0000-0000-0000250B0000}"/>
    <cellStyle name="▲_読切り表_専務診断報告資料(05.03.30)xls" xfId="1978" xr:uid="{00000000-0005-0000-0000-0000260B0000}"/>
    <cellStyle name="▲_読切り表_専務診断報告資料（０６年３月度）" xfId="1979" xr:uid="{00000000-0005-0000-0000-0000270B0000}"/>
    <cellStyle name="▲_読切り表_第33回品質実践研テーマ" xfId="1980" xr:uid="{00000000-0005-0000-0000-0000280B0000}"/>
    <cellStyle name="▲_読切り表_第34回品質実践研テーマ" xfId="1981" xr:uid="{00000000-0005-0000-0000-0000290B0000}"/>
    <cellStyle name="▲_読切り表_第36回品質実践研テーマ" xfId="1982" xr:uid="{00000000-0005-0000-0000-00002A0B0000}"/>
    <cellStyle name="▲_読切り表_第37回品質実践件テーマ（玄収扉）" xfId="1983" xr:uid="{00000000-0005-0000-0000-00002B0B0000}"/>
    <cellStyle name="▲_読切り表_第37回品質実践研テーマ" xfId="1984" xr:uid="{00000000-0005-0000-0000-00002C0B0000}"/>
    <cellStyle name="▲_読切り表_第38回品質実践研テーマ" xfId="1985" xr:uid="{00000000-0005-0000-0000-00002D0B0000}"/>
    <cellStyle name="▲_読切り表_第39回品質実践研テーマ（クロ本体）" xfId="1986" xr:uid="{00000000-0005-0000-0000-00002E0B0000}"/>
    <cellStyle name="▲_読切り表_第40回品質実践研テーマ" xfId="1987" xr:uid="{00000000-0005-0000-0000-00002F0B0000}"/>
    <cellStyle name="▲_読切り表_第４１回品質実践研（養生）" xfId="1988" xr:uid="{00000000-0005-0000-0000-0000300B0000}"/>
    <cellStyle name="▲_読切り表_第41回品質実践研テーマ（玄収扉）" xfId="1989" xr:uid="{00000000-0005-0000-0000-0000310B0000}"/>
    <cellStyle name="▲_読切り表_品質レベル（ドア枠Ｂ）" xfId="1990" xr:uid="{00000000-0005-0000-0000-0000320B0000}"/>
    <cellStyle name="▲_読切り表_本部長診断会ドア" xfId="1991" xr:uid="{00000000-0005-0000-0000-0000330B0000}"/>
    <cellStyle name="▲_売上シュミレーション" xfId="1992" xr:uid="{00000000-0005-0000-0000-0000340B0000}"/>
    <cellStyle name="▲_販促課会議03年4月資料" xfId="100" xr:uid="{00000000-0005-0000-0000-0000350B0000}"/>
    <cellStyle name="▲_販促課会議03年4月資料 2" xfId="3643" xr:uid="{00000000-0005-0000-0000-0000360B0000}"/>
    <cellStyle name="▲_販促課会議03年4月資料 2 2" xfId="3644" xr:uid="{00000000-0005-0000-0000-0000370B0000}"/>
    <cellStyle name="▲_販促課会議03年4月資料 3" xfId="3645" xr:uid="{00000000-0005-0000-0000-0000380B0000}"/>
    <cellStyle name="▲_販促課会議03年4月資料 3 2" xfId="3646" xr:uid="{00000000-0005-0000-0000-0000390B0000}"/>
    <cellStyle name="▲_販促課会議03年4月資料 3 2 2" xfId="3647" xr:uid="{00000000-0005-0000-0000-00003A0B0000}"/>
    <cellStyle name="▲_販促課会議03年4月資料 3 3" xfId="3648" xr:uid="{00000000-0005-0000-0000-00003B0B0000}"/>
    <cellStyle name="▲_販促課会議03年4月資料 4" xfId="3649" xr:uid="{00000000-0005-0000-0000-00003C0B0000}"/>
    <cellStyle name="▲_販促課会議03年4月資料_(SR海外)_工程台帳" xfId="1993" xr:uid="{00000000-0005-0000-0000-00003D0B0000}"/>
    <cellStyle name="▲_販促課会議03年4月資料_(SR海外)_工程台帳 2" xfId="5722" xr:uid="{00000000-0005-0000-0000-00003E0B0000}"/>
    <cellStyle name="▲_販促課会議03年4月資料_《PL枠》12年度目指すべき姿" xfId="1994" xr:uid="{00000000-0005-0000-0000-00003F0B0000}"/>
    <cellStyle name="▲_販促課会議03年4月資料_《PL枠》12年度目指すべき姿 2" xfId="5723" xr:uid="{00000000-0005-0000-0000-0000400B0000}"/>
    <cellStyle name="▲_販促課会議03年4月資料_《ベルスク２》12年度目指すべき姿" xfId="1995" xr:uid="{00000000-0005-0000-0000-0000410B0000}"/>
    <cellStyle name="▲_販促課会議03年4月資料_《ベルスク２》12年度目指すべき姿 2" xfId="5724" xr:uid="{00000000-0005-0000-0000-0000420B0000}"/>
    <cellStyle name="▲_販促課会議03年4月資料_【0907ライン別現象別比較】" xfId="1996" xr:uid="{00000000-0005-0000-0000-0000430B0000}"/>
    <cellStyle name="▲_販促課会議03年4月資料_【清水B】11年度フォローシート【品質】" xfId="1997" xr:uid="{00000000-0005-0000-0000-0000440B0000}"/>
    <cellStyle name="▲_販促課会議03年4月資料_【品質保証レベル（外観含み）】（製造課定義）xls" xfId="1998" xr:uid="{00000000-0005-0000-0000-0000450B0000}"/>
    <cellStyle name="▲_販促課会議03年4月資料_【品質保証レベル向上（まとめ）】" xfId="1999" xr:uid="{00000000-0005-0000-0000-0000460B0000}"/>
    <cellStyle name="▲_販促課会議03年4月資料_【有賀】09なし 間違い方策展開系統図 " xfId="2000" xr:uid="{00000000-0005-0000-0000-0000470B0000}"/>
    <cellStyle name="▲_販促課会議03年4月資料_■【12ライン別】製造原価率推移グラフ" xfId="2001" xr:uid="{00000000-0005-0000-0000-0000480B0000}"/>
    <cellStyle name="▲_販促課会議03年4月資料_０５年度方針実績" xfId="2002" xr:uid="{00000000-0005-0000-0000-0000490B0000}"/>
    <cellStyle name="▲_販促課会議03年4月資料_110706【清水Ｂ品質保証レベル向上進捗シート】xls" xfId="2003" xr:uid="{00000000-0005-0000-0000-00004A0B0000}"/>
    <cellStyle name="▲_販促課会議03年4月資料_12年度本部長診断現場報告ドア枠" xfId="2004" xr:uid="{00000000-0005-0000-0000-00004B0B0000}"/>
    <cellStyle name="▲_販促課会議03年4月資料_12年度本部長診断現場報告ドア枠 2" xfId="5725" xr:uid="{00000000-0005-0000-0000-00004C0B0000}"/>
    <cellStyle name="▲_販促課会議03年4月資料_13年度上期生産性計画" xfId="2005" xr:uid="{00000000-0005-0000-0000-00004D0B0000}"/>
    <cellStyle name="▲_販促課会議03年4月資料_13年度反省書(SR係)" xfId="2006" xr:uid="{00000000-0005-0000-0000-00004E0B0000}"/>
    <cellStyle name="▲_販促課会議03年4月資料_35回品質実践研テーマ" xfId="2007" xr:uid="{00000000-0005-0000-0000-00004F0B0000}"/>
    <cellStyle name="▲_販促課会議03年4月資料_ＢＰ説明資料" xfId="2008" xr:uid="{00000000-0005-0000-0000-0000500B0000}"/>
    <cellStyle name="▲_販促課会議03年4月資料_FA" xfId="2009" xr:uid="{00000000-0005-0000-0000-0000510B0000}"/>
    <cellStyle name="▲_販促課会議03年4月資料_FA 2" xfId="5726" xr:uid="{00000000-0005-0000-0000-0000520B0000}"/>
    <cellStyle name="▲_販促課会議03年4月資料_Ｈ改善ＳＨ" xfId="2010" xr:uid="{00000000-0005-0000-0000-0000530B0000}"/>
    <cellStyle name="▲_販促課会議03年4月資料_TOPS実践スケジュール（土浦_K" xfId="2011" xr:uid="{00000000-0005-0000-0000-0000540B0000}"/>
    <cellStyle name="▲_販促課会議03年4月資料_ページ1" xfId="2012" xr:uid="{00000000-0005-0000-0000-0000550B0000}"/>
    <cellStyle name="▲_販促課会議03年4月資料_ページ1 2" xfId="5727" xr:uid="{00000000-0005-0000-0000-0000560B0000}"/>
    <cellStyle name="▲_販促課会議03年4月資料_リシェントＴＯＰＳ" xfId="2013" xr:uid="{00000000-0005-0000-0000-0000570B0000}"/>
    <cellStyle name="▲_販促課会議03年4月資料_リシェントＴＯＰＳ 2" xfId="5728" xr:uid="{00000000-0005-0000-0000-0000580B0000}"/>
    <cellStyle name="▲_販促課会議03年4月資料_活動内容(13年振返り14年進め方）" xfId="2014" xr:uid="{00000000-0005-0000-0000-0000590B0000}"/>
    <cellStyle name="▲_販促課会議03年4月資料_活動内容(13年振返り14年進め方） 2" xfId="5729" xr:uid="{00000000-0005-0000-0000-00005A0B0000}"/>
    <cellStyle name="▲_販促課会議03年4月資料_管轄ﾗｲﾝ構成1" xfId="2015" xr:uid="{00000000-0005-0000-0000-00005B0B0000}"/>
    <cellStyle name="▲_販促課会議03年4月資料_工場長診断ドア" xfId="2016" xr:uid="{00000000-0005-0000-0000-00005C0B0000}"/>
    <cellStyle name="▲_販促課会議03年4月資料_神奈川工務体制" xfId="2017" xr:uid="{00000000-0005-0000-0000-00005D0B0000}"/>
    <cellStyle name="▲_販促課会議03年4月資料_設技12-004" xfId="2018" xr:uid="{00000000-0005-0000-0000-00005E0B0000}"/>
    <cellStyle name="▲_販促課会議03年4月資料_専務診断報告資料(05.03.30)xls" xfId="2019" xr:uid="{00000000-0005-0000-0000-00005F0B0000}"/>
    <cellStyle name="▲_販促課会議03年4月資料_専務診断報告資料（０６年３月度）" xfId="2020" xr:uid="{00000000-0005-0000-0000-0000600B0000}"/>
    <cellStyle name="▲_販促課会議03年4月資料_第33回品質実践研テーマ" xfId="2021" xr:uid="{00000000-0005-0000-0000-0000610B0000}"/>
    <cellStyle name="▲_販促課会議03年4月資料_第34回品質実践研テーマ" xfId="2022" xr:uid="{00000000-0005-0000-0000-0000620B0000}"/>
    <cellStyle name="▲_販促課会議03年4月資料_第36回品質実践研テーマ" xfId="2023" xr:uid="{00000000-0005-0000-0000-0000630B0000}"/>
    <cellStyle name="▲_販促課会議03年4月資料_第37回品質実践件テーマ（玄収扉）" xfId="2024" xr:uid="{00000000-0005-0000-0000-0000640B0000}"/>
    <cellStyle name="▲_販促課会議03年4月資料_第37回品質実践研テーマ" xfId="2025" xr:uid="{00000000-0005-0000-0000-0000650B0000}"/>
    <cellStyle name="▲_販促課会議03年4月資料_第38回品質実践研テーマ" xfId="2026" xr:uid="{00000000-0005-0000-0000-0000660B0000}"/>
    <cellStyle name="▲_販促課会議03年4月資料_第39回品質実践研テーマ（クロ本体）" xfId="2027" xr:uid="{00000000-0005-0000-0000-0000670B0000}"/>
    <cellStyle name="▲_販促課会議03年4月資料_第40回品質実践研テーマ" xfId="2028" xr:uid="{00000000-0005-0000-0000-0000680B0000}"/>
    <cellStyle name="▲_販促課会議03年4月資料_第４１回品質実践研（養生）" xfId="2029" xr:uid="{00000000-0005-0000-0000-0000690B0000}"/>
    <cellStyle name="▲_販促課会議03年4月資料_第41回品質実践研テーマ（玄収扉）" xfId="2030" xr:uid="{00000000-0005-0000-0000-00006A0B0000}"/>
    <cellStyle name="▲_販促課会議03年4月資料_品質レベル（ドア枠Ｂ）" xfId="2031" xr:uid="{00000000-0005-0000-0000-00006B0B0000}"/>
    <cellStyle name="▲_販促課会議03年4月資料_本部長診断会ドア" xfId="2032" xr:uid="{00000000-0005-0000-0000-00006C0B0000}"/>
    <cellStyle name="▲_販促課会議03年5月資料" xfId="101" xr:uid="{00000000-0005-0000-0000-00006D0B0000}"/>
    <cellStyle name="▲_販促課会議03年5月資料 2" xfId="3650" xr:uid="{00000000-0005-0000-0000-00006E0B0000}"/>
    <cellStyle name="▲_販促課会議03年5月資料 2 2" xfId="3651" xr:uid="{00000000-0005-0000-0000-00006F0B0000}"/>
    <cellStyle name="▲_販促課会議03年5月資料 3" xfId="3652" xr:uid="{00000000-0005-0000-0000-0000700B0000}"/>
    <cellStyle name="▲_販促課会議03年5月資料 3 2" xfId="3653" xr:uid="{00000000-0005-0000-0000-0000710B0000}"/>
    <cellStyle name="▲_販促課会議03年5月資料 3 2 2" xfId="3654" xr:uid="{00000000-0005-0000-0000-0000720B0000}"/>
    <cellStyle name="▲_販促課会議03年5月資料 3 3" xfId="3655" xr:uid="{00000000-0005-0000-0000-0000730B0000}"/>
    <cellStyle name="▲_販促課会議03年5月資料 4" xfId="3656" xr:uid="{00000000-0005-0000-0000-0000740B0000}"/>
    <cellStyle name="▲_販促課会議03年5月資料_(SR海外)_工程台帳" xfId="2033" xr:uid="{00000000-0005-0000-0000-0000750B0000}"/>
    <cellStyle name="▲_販促課会議03年5月資料_(SR海外)_工程台帳 2" xfId="5730" xr:uid="{00000000-0005-0000-0000-0000760B0000}"/>
    <cellStyle name="▲_販促課会議03年5月資料_《PL枠》12年度目指すべき姿" xfId="2034" xr:uid="{00000000-0005-0000-0000-0000770B0000}"/>
    <cellStyle name="▲_販促課会議03年5月資料_《PL枠》12年度目指すべき姿 2" xfId="5731" xr:uid="{00000000-0005-0000-0000-0000780B0000}"/>
    <cellStyle name="▲_販促課会議03年5月資料_《ベルスク２》12年度目指すべき姿" xfId="2035" xr:uid="{00000000-0005-0000-0000-0000790B0000}"/>
    <cellStyle name="▲_販促課会議03年5月資料_《ベルスク２》12年度目指すべき姿 2" xfId="5732" xr:uid="{00000000-0005-0000-0000-00007A0B0000}"/>
    <cellStyle name="▲_販促課会議03年5月資料_【0907ライン別現象別比較】" xfId="2036" xr:uid="{00000000-0005-0000-0000-00007B0B0000}"/>
    <cellStyle name="▲_販促課会議03年5月資料_【清水B】11年度フォローシート【品質】" xfId="2037" xr:uid="{00000000-0005-0000-0000-00007C0B0000}"/>
    <cellStyle name="▲_販促課会議03年5月資料_【品質保証レベル（外観含み）】（製造課定義）xls" xfId="2038" xr:uid="{00000000-0005-0000-0000-00007D0B0000}"/>
    <cellStyle name="▲_販促課会議03年5月資料_【品質保証レベル向上（まとめ）】" xfId="2039" xr:uid="{00000000-0005-0000-0000-00007E0B0000}"/>
    <cellStyle name="▲_販促課会議03年5月資料_【有賀】09なし 間違い方策展開系統図 " xfId="2040" xr:uid="{00000000-0005-0000-0000-00007F0B0000}"/>
    <cellStyle name="▲_販促課会議03年5月資料_■【12ライン別】製造原価率推移グラフ" xfId="2041" xr:uid="{00000000-0005-0000-0000-0000800B0000}"/>
    <cellStyle name="▲_販促課会議03年5月資料_０５年度方針実績" xfId="2042" xr:uid="{00000000-0005-0000-0000-0000810B0000}"/>
    <cellStyle name="▲_販促課会議03年5月資料_110706【清水Ｂ品質保証レベル向上進捗シート】xls" xfId="2043" xr:uid="{00000000-0005-0000-0000-0000820B0000}"/>
    <cellStyle name="▲_販促課会議03年5月資料_12年度本部長診断現場報告ドア枠" xfId="2044" xr:uid="{00000000-0005-0000-0000-0000830B0000}"/>
    <cellStyle name="▲_販促課会議03年5月資料_12年度本部長診断現場報告ドア枠 2" xfId="5733" xr:uid="{00000000-0005-0000-0000-0000840B0000}"/>
    <cellStyle name="▲_販促課会議03年5月資料_13年度上期生産性計画" xfId="2045" xr:uid="{00000000-0005-0000-0000-0000850B0000}"/>
    <cellStyle name="▲_販促課会議03年5月資料_13年度反省書(SR係)" xfId="2046" xr:uid="{00000000-0005-0000-0000-0000860B0000}"/>
    <cellStyle name="▲_販促課会議03年5月資料_35回品質実践研テーマ" xfId="2047" xr:uid="{00000000-0005-0000-0000-0000870B0000}"/>
    <cellStyle name="▲_販促課会議03年5月資料_ＢＰ説明資料" xfId="2048" xr:uid="{00000000-0005-0000-0000-0000880B0000}"/>
    <cellStyle name="▲_販促課会議03年5月資料_FA" xfId="2049" xr:uid="{00000000-0005-0000-0000-0000890B0000}"/>
    <cellStyle name="▲_販促課会議03年5月資料_FA 2" xfId="5734" xr:uid="{00000000-0005-0000-0000-00008A0B0000}"/>
    <cellStyle name="▲_販促課会議03年5月資料_Ｈ改善ＳＨ" xfId="2050" xr:uid="{00000000-0005-0000-0000-00008B0B0000}"/>
    <cellStyle name="▲_販促課会議03年5月資料_TOPS実践スケジュール（土浦_K" xfId="2051" xr:uid="{00000000-0005-0000-0000-00008C0B0000}"/>
    <cellStyle name="▲_販促課会議03年5月資料_ページ1" xfId="2052" xr:uid="{00000000-0005-0000-0000-00008D0B0000}"/>
    <cellStyle name="▲_販促課会議03年5月資料_ページ1 2" xfId="5735" xr:uid="{00000000-0005-0000-0000-00008E0B0000}"/>
    <cellStyle name="▲_販促課会議03年5月資料_リシェントＴＯＰＳ" xfId="2053" xr:uid="{00000000-0005-0000-0000-00008F0B0000}"/>
    <cellStyle name="▲_販促課会議03年5月資料_リシェントＴＯＰＳ 2" xfId="5736" xr:uid="{00000000-0005-0000-0000-0000900B0000}"/>
    <cellStyle name="▲_販促課会議03年5月資料_活動内容(13年振返り14年進め方）" xfId="2054" xr:uid="{00000000-0005-0000-0000-0000910B0000}"/>
    <cellStyle name="▲_販促課会議03年5月資料_活動内容(13年振返り14年進め方） 2" xfId="5737" xr:uid="{00000000-0005-0000-0000-0000920B0000}"/>
    <cellStyle name="▲_販促課会議03年5月資料_管轄ﾗｲﾝ構成1" xfId="2055" xr:uid="{00000000-0005-0000-0000-0000930B0000}"/>
    <cellStyle name="▲_販促課会議03年5月資料_工場長診断ドア" xfId="2056" xr:uid="{00000000-0005-0000-0000-0000940B0000}"/>
    <cellStyle name="▲_販促課会議03年5月資料_神奈川工務体制" xfId="2057" xr:uid="{00000000-0005-0000-0000-0000950B0000}"/>
    <cellStyle name="▲_販促課会議03年5月資料_設技12-004" xfId="2058" xr:uid="{00000000-0005-0000-0000-0000960B0000}"/>
    <cellStyle name="▲_販促課会議03年5月資料_専務診断報告資料(05.03.30)xls" xfId="2059" xr:uid="{00000000-0005-0000-0000-0000970B0000}"/>
    <cellStyle name="▲_販促課会議03年5月資料_専務診断報告資料（０６年３月度）" xfId="2060" xr:uid="{00000000-0005-0000-0000-0000980B0000}"/>
    <cellStyle name="▲_販促課会議03年5月資料_第33回品質実践研テーマ" xfId="2061" xr:uid="{00000000-0005-0000-0000-0000990B0000}"/>
    <cellStyle name="▲_販促課会議03年5月資料_第34回品質実践研テーマ" xfId="2062" xr:uid="{00000000-0005-0000-0000-00009A0B0000}"/>
    <cellStyle name="▲_販促課会議03年5月資料_第36回品質実践研テーマ" xfId="2063" xr:uid="{00000000-0005-0000-0000-00009B0B0000}"/>
    <cellStyle name="▲_販促課会議03年5月資料_第37回品質実践件テーマ（玄収扉）" xfId="2064" xr:uid="{00000000-0005-0000-0000-00009C0B0000}"/>
    <cellStyle name="▲_販促課会議03年5月資料_第37回品質実践研テーマ" xfId="2065" xr:uid="{00000000-0005-0000-0000-00009D0B0000}"/>
    <cellStyle name="▲_販促課会議03年5月資料_第38回品質実践研テーマ" xfId="2066" xr:uid="{00000000-0005-0000-0000-00009E0B0000}"/>
    <cellStyle name="▲_販促課会議03年5月資料_第39回品質実践研テーマ（クロ本体）" xfId="2067" xr:uid="{00000000-0005-0000-0000-00009F0B0000}"/>
    <cellStyle name="▲_販促課会議03年5月資料_第40回品質実践研テーマ" xfId="2068" xr:uid="{00000000-0005-0000-0000-0000A00B0000}"/>
    <cellStyle name="▲_販促課会議03年5月資料_第４１回品質実践研（養生）" xfId="2069" xr:uid="{00000000-0005-0000-0000-0000A10B0000}"/>
    <cellStyle name="▲_販促課会議03年5月資料_第41回品質実践研テーマ（玄収扉）" xfId="2070" xr:uid="{00000000-0005-0000-0000-0000A20B0000}"/>
    <cellStyle name="▲_販促課会議03年5月資料_品質レベル（ドア枠Ｂ）" xfId="2071" xr:uid="{00000000-0005-0000-0000-0000A30B0000}"/>
    <cellStyle name="▲_販促課会議03年5月資料_本部長診断会ドア" xfId="2072" xr:uid="{00000000-0005-0000-0000-0000A40B0000}"/>
    <cellStyle name="▲_販促課会議03年6月資料" xfId="102" xr:uid="{00000000-0005-0000-0000-0000A50B0000}"/>
    <cellStyle name="▲_販促課会議03年6月資料 2" xfId="3657" xr:uid="{00000000-0005-0000-0000-0000A60B0000}"/>
    <cellStyle name="▲_販促課会議03年6月資料 2 2" xfId="3658" xr:uid="{00000000-0005-0000-0000-0000A70B0000}"/>
    <cellStyle name="▲_販促課会議03年6月資料 3" xfId="3659" xr:uid="{00000000-0005-0000-0000-0000A80B0000}"/>
    <cellStyle name="▲_販促課会議03年6月資料 3 2" xfId="3660" xr:uid="{00000000-0005-0000-0000-0000A90B0000}"/>
    <cellStyle name="▲_販促課会議03年6月資料 3 2 2" xfId="3661" xr:uid="{00000000-0005-0000-0000-0000AA0B0000}"/>
    <cellStyle name="▲_販促課会議03年6月資料 3 3" xfId="3662" xr:uid="{00000000-0005-0000-0000-0000AB0B0000}"/>
    <cellStyle name="▲_販促課会議03年6月資料 4" xfId="3663" xr:uid="{00000000-0005-0000-0000-0000AC0B0000}"/>
    <cellStyle name="▲_販促課会議03年6月資料_(SR海外)_工程台帳" xfId="2073" xr:uid="{00000000-0005-0000-0000-0000AD0B0000}"/>
    <cellStyle name="▲_販促課会議03年6月資料_(SR海外)_工程台帳 2" xfId="5738" xr:uid="{00000000-0005-0000-0000-0000AE0B0000}"/>
    <cellStyle name="▲_販促課会議03年6月資料_《PL枠》12年度目指すべき姿" xfId="2074" xr:uid="{00000000-0005-0000-0000-0000AF0B0000}"/>
    <cellStyle name="▲_販促課会議03年6月資料_《PL枠》12年度目指すべき姿 2" xfId="5739" xr:uid="{00000000-0005-0000-0000-0000B00B0000}"/>
    <cellStyle name="▲_販促課会議03年6月資料_《ベルスク２》12年度目指すべき姿" xfId="2075" xr:uid="{00000000-0005-0000-0000-0000B10B0000}"/>
    <cellStyle name="▲_販促課会議03年6月資料_《ベルスク２》12年度目指すべき姿 2" xfId="5740" xr:uid="{00000000-0005-0000-0000-0000B20B0000}"/>
    <cellStyle name="▲_販促課会議03年6月資料_【0907ライン別現象別比較】" xfId="2076" xr:uid="{00000000-0005-0000-0000-0000B30B0000}"/>
    <cellStyle name="▲_販促課会議03年6月資料_【清水B】11年度フォローシート【品質】" xfId="2077" xr:uid="{00000000-0005-0000-0000-0000B40B0000}"/>
    <cellStyle name="▲_販促課会議03年6月資料_【品質保証レベル（外観含み）】（製造課定義）xls" xfId="2078" xr:uid="{00000000-0005-0000-0000-0000B50B0000}"/>
    <cellStyle name="▲_販促課会議03年6月資料_【品質保証レベル向上（まとめ）】" xfId="2079" xr:uid="{00000000-0005-0000-0000-0000B60B0000}"/>
    <cellStyle name="▲_販促課会議03年6月資料_【有賀】09なし 間違い方策展開系統図 " xfId="2080" xr:uid="{00000000-0005-0000-0000-0000B70B0000}"/>
    <cellStyle name="▲_販促課会議03年6月資料_■【12ライン別】製造原価率推移グラフ" xfId="2081" xr:uid="{00000000-0005-0000-0000-0000B80B0000}"/>
    <cellStyle name="▲_販促課会議03年6月資料_０５年度方針実績" xfId="2082" xr:uid="{00000000-0005-0000-0000-0000B90B0000}"/>
    <cellStyle name="▲_販促課会議03年6月資料_110706【清水Ｂ品質保証レベル向上進捗シート】xls" xfId="2083" xr:uid="{00000000-0005-0000-0000-0000BA0B0000}"/>
    <cellStyle name="▲_販促課会議03年6月資料_12年度本部長診断現場報告ドア枠" xfId="2084" xr:uid="{00000000-0005-0000-0000-0000BB0B0000}"/>
    <cellStyle name="▲_販促課会議03年6月資料_12年度本部長診断現場報告ドア枠 2" xfId="5741" xr:uid="{00000000-0005-0000-0000-0000BC0B0000}"/>
    <cellStyle name="▲_販促課会議03年6月資料_13年度上期生産性計画" xfId="2085" xr:uid="{00000000-0005-0000-0000-0000BD0B0000}"/>
    <cellStyle name="▲_販促課会議03年6月資料_13年度反省書(SR係)" xfId="2086" xr:uid="{00000000-0005-0000-0000-0000BE0B0000}"/>
    <cellStyle name="▲_販促課会議03年6月資料_35回品質実践研テーマ" xfId="2087" xr:uid="{00000000-0005-0000-0000-0000BF0B0000}"/>
    <cellStyle name="▲_販促課会議03年6月資料_ＢＰ説明資料" xfId="2088" xr:uid="{00000000-0005-0000-0000-0000C00B0000}"/>
    <cellStyle name="▲_販促課会議03年6月資料_FA" xfId="2089" xr:uid="{00000000-0005-0000-0000-0000C10B0000}"/>
    <cellStyle name="▲_販促課会議03年6月資料_FA 2" xfId="5742" xr:uid="{00000000-0005-0000-0000-0000C20B0000}"/>
    <cellStyle name="▲_販促課会議03年6月資料_Ｈ改善ＳＨ" xfId="2090" xr:uid="{00000000-0005-0000-0000-0000C30B0000}"/>
    <cellStyle name="▲_販促課会議03年6月資料_TOPS実践スケジュール（土浦_K" xfId="2091" xr:uid="{00000000-0005-0000-0000-0000C40B0000}"/>
    <cellStyle name="▲_販促課会議03年6月資料_ページ1" xfId="2092" xr:uid="{00000000-0005-0000-0000-0000C50B0000}"/>
    <cellStyle name="▲_販促課会議03年6月資料_ページ1 2" xfId="5743" xr:uid="{00000000-0005-0000-0000-0000C60B0000}"/>
    <cellStyle name="▲_販促課会議03年6月資料_リシェントＴＯＰＳ" xfId="2093" xr:uid="{00000000-0005-0000-0000-0000C70B0000}"/>
    <cellStyle name="▲_販促課会議03年6月資料_リシェントＴＯＰＳ 2" xfId="5744" xr:uid="{00000000-0005-0000-0000-0000C80B0000}"/>
    <cellStyle name="▲_販促課会議03年6月資料_活動内容(13年振返り14年進め方）" xfId="2094" xr:uid="{00000000-0005-0000-0000-0000C90B0000}"/>
    <cellStyle name="▲_販促課会議03年6月資料_活動内容(13年振返り14年進め方） 2" xfId="5745" xr:uid="{00000000-0005-0000-0000-0000CA0B0000}"/>
    <cellStyle name="▲_販促課会議03年6月資料_管轄ﾗｲﾝ構成1" xfId="2095" xr:uid="{00000000-0005-0000-0000-0000CB0B0000}"/>
    <cellStyle name="▲_販促課会議03年6月資料_工場長診断ドア" xfId="2096" xr:uid="{00000000-0005-0000-0000-0000CC0B0000}"/>
    <cellStyle name="▲_販促課会議03年6月資料_神奈川工務体制" xfId="2097" xr:uid="{00000000-0005-0000-0000-0000CD0B0000}"/>
    <cellStyle name="▲_販促課会議03年6月資料_設技12-004" xfId="2098" xr:uid="{00000000-0005-0000-0000-0000CE0B0000}"/>
    <cellStyle name="▲_販促課会議03年6月資料_専務診断報告資料(05.03.30)xls" xfId="2099" xr:uid="{00000000-0005-0000-0000-0000CF0B0000}"/>
    <cellStyle name="▲_販促課会議03年6月資料_専務診断報告資料（０６年３月度）" xfId="2100" xr:uid="{00000000-0005-0000-0000-0000D00B0000}"/>
    <cellStyle name="▲_販促課会議03年6月資料_第33回品質実践研テーマ" xfId="2101" xr:uid="{00000000-0005-0000-0000-0000D10B0000}"/>
    <cellStyle name="▲_販促課会議03年6月資料_第34回品質実践研テーマ" xfId="2102" xr:uid="{00000000-0005-0000-0000-0000D20B0000}"/>
    <cellStyle name="▲_販促課会議03年6月資料_第36回品質実践研テーマ" xfId="2103" xr:uid="{00000000-0005-0000-0000-0000D30B0000}"/>
    <cellStyle name="▲_販促課会議03年6月資料_第37回品質実践件テーマ（玄収扉）" xfId="2104" xr:uid="{00000000-0005-0000-0000-0000D40B0000}"/>
    <cellStyle name="▲_販促課会議03年6月資料_第37回品質実践研テーマ" xfId="2105" xr:uid="{00000000-0005-0000-0000-0000D50B0000}"/>
    <cellStyle name="▲_販促課会議03年6月資料_第38回品質実践研テーマ" xfId="2106" xr:uid="{00000000-0005-0000-0000-0000D60B0000}"/>
    <cellStyle name="▲_販促課会議03年6月資料_第39回品質実践研テーマ（クロ本体）" xfId="2107" xr:uid="{00000000-0005-0000-0000-0000D70B0000}"/>
    <cellStyle name="▲_販促課会議03年6月資料_第40回品質実践研テーマ" xfId="2108" xr:uid="{00000000-0005-0000-0000-0000D80B0000}"/>
    <cellStyle name="▲_販促課会議03年6月資料_第４１回品質実践研（養生）" xfId="2109" xr:uid="{00000000-0005-0000-0000-0000D90B0000}"/>
    <cellStyle name="▲_販促課会議03年6月資料_第41回品質実践研テーマ（玄収扉）" xfId="2110" xr:uid="{00000000-0005-0000-0000-0000DA0B0000}"/>
    <cellStyle name="▲_販促課会議03年6月資料_品質レベル（ドア枠Ｂ）" xfId="2111" xr:uid="{00000000-0005-0000-0000-0000DB0B0000}"/>
    <cellStyle name="▲_販促課会議03年6月資料_本部長診断会ドア" xfId="2112" xr:uid="{00000000-0005-0000-0000-0000DC0B0000}"/>
    <cellStyle name="▲_販促課会議03年7月資料" xfId="103" xr:uid="{00000000-0005-0000-0000-0000DD0B0000}"/>
    <cellStyle name="▲_販促課会議03年7月資料 2" xfId="3664" xr:uid="{00000000-0005-0000-0000-0000DE0B0000}"/>
    <cellStyle name="▲_販促課会議03年7月資料 2 2" xfId="3665" xr:uid="{00000000-0005-0000-0000-0000DF0B0000}"/>
    <cellStyle name="▲_販促課会議03年7月資料 3" xfId="3666" xr:uid="{00000000-0005-0000-0000-0000E00B0000}"/>
    <cellStyle name="▲_販促課会議03年7月資料 3 2" xfId="3667" xr:uid="{00000000-0005-0000-0000-0000E10B0000}"/>
    <cellStyle name="▲_販促課会議03年7月資料 3 2 2" xfId="3668" xr:uid="{00000000-0005-0000-0000-0000E20B0000}"/>
    <cellStyle name="▲_販促課会議03年7月資料 3 3" xfId="3669" xr:uid="{00000000-0005-0000-0000-0000E30B0000}"/>
    <cellStyle name="▲_販促課会議03年7月資料 4" xfId="3670" xr:uid="{00000000-0005-0000-0000-0000E40B0000}"/>
    <cellStyle name="▲_販促課会議03年7月資料_(SR海外)_工程台帳" xfId="2113" xr:uid="{00000000-0005-0000-0000-0000E50B0000}"/>
    <cellStyle name="▲_販促課会議03年7月資料_(SR海外)_工程台帳 2" xfId="5746" xr:uid="{00000000-0005-0000-0000-0000E60B0000}"/>
    <cellStyle name="▲_販促課会議03年7月資料_《PL枠》12年度目指すべき姿" xfId="2114" xr:uid="{00000000-0005-0000-0000-0000E70B0000}"/>
    <cellStyle name="▲_販促課会議03年7月資料_《PL枠》12年度目指すべき姿 2" xfId="5747" xr:uid="{00000000-0005-0000-0000-0000E80B0000}"/>
    <cellStyle name="▲_販促課会議03年7月資料_《ベルスク２》12年度目指すべき姿" xfId="2115" xr:uid="{00000000-0005-0000-0000-0000E90B0000}"/>
    <cellStyle name="▲_販促課会議03年7月資料_《ベルスク２》12年度目指すべき姿 2" xfId="5748" xr:uid="{00000000-0005-0000-0000-0000EA0B0000}"/>
    <cellStyle name="▲_販促課会議03年7月資料_【0907ライン別現象別比較】" xfId="2116" xr:uid="{00000000-0005-0000-0000-0000EB0B0000}"/>
    <cellStyle name="▲_販促課会議03年7月資料_【清水B】11年度フォローシート【品質】" xfId="2117" xr:uid="{00000000-0005-0000-0000-0000EC0B0000}"/>
    <cellStyle name="▲_販促課会議03年7月資料_【品質保証レベル（外観含み）】（製造課定義）xls" xfId="2118" xr:uid="{00000000-0005-0000-0000-0000ED0B0000}"/>
    <cellStyle name="▲_販促課会議03年7月資料_【品質保証レベル向上（まとめ）】" xfId="2119" xr:uid="{00000000-0005-0000-0000-0000EE0B0000}"/>
    <cellStyle name="▲_販促課会議03年7月資料_【有賀】09なし 間違い方策展開系統図 " xfId="2120" xr:uid="{00000000-0005-0000-0000-0000EF0B0000}"/>
    <cellStyle name="▲_販促課会議03年7月資料_■【12ライン別】製造原価率推移グラフ" xfId="2121" xr:uid="{00000000-0005-0000-0000-0000F00B0000}"/>
    <cellStyle name="▲_販促課会議03年7月資料_０５年度方針実績" xfId="2122" xr:uid="{00000000-0005-0000-0000-0000F10B0000}"/>
    <cellStyle name="▲_販促課会議03年7月資料_110706【清水Ｂ品質保証レベル向上進捗シート】xls" xfId="2123" xr:uid="{00000000-0005-0000-0000-0000F20B0000}"/>
    <cellStyle name="▲_販促課会議03年7月資料_12年度本部長診断現場報告ドア枠" xfId="2124" xr:uid="{00000000-0005-0000-0000-0000F30B0000}"/>
    <cellStyle name="▲_販促課会議03年7月資料_12年度本部長診断現場報告ドア枠 2" xfId="5749" xr:uid="{00000000-0005-0000-0000-0000F40B0000}"/>
    <cellStyle name="▲_販促課会議03年7月資料_13年度上期生産性計画" xfId="2125" xr:uid="{00000000-0005-0000-0000-0000F50B0000}"/>
    <cellStyle name="▲_販促課会議03年7月資料_13年度反省書(SR係)" xfId="2126" xr:uid="{00000000-0005-0000-0000-0000F60B0000}"/>
    <cellStyle name="▲_販促課会議03年7月資料_35回品質実践研テーマ" xfId="2127" xr:uid="{00000000-0005-0000-0000-0000F70B0000}"/>
    <cellStyle name="▲_販促課会議03年7月資料_ＢＰ説明資料" xfId="2128" xr:uid="{00000000-0005-0000-0000-0000F80B0000}"/>
    <cellStyle name="▲_販促課会議03年7月資料_FA" xfId="2129" xr:uid="{00000000-0005-0000-0000-0000F90B0000}"/>
    <cellStyle name="▲_販促課会議03年7月資料_FA 2" xfId="5750" xr:uid="{00000000-0005-0000-0000-0000FA0B0000}"/>
    <cellStyle name="▲_販促課会議03年7月資料_Ｈ改善ＳＨ" xfId="2130" xr:uid="{00000000-0005-0000-0000-0000FB0B0000}"/>
    <cellStyle name="▲_販促課会議03年7月資料_TOPS実践スケジュール（土浦_K" xfId="2131" xr:uid="{00000000-0005-0000-0000-0000FC0B0000}"/>
    <cellStyle name="▲_販促課会議03年7月資料_ページ1" xfId="2132" xr:uid="{00000000-0005-0000-0000-0000FD0B0000}"/>
    <cellStyle name="▲_販促課会議03年7月資料_ページ1 2" xfId="5751" xr:uid="{00000000-0005-0000-0000-0000FE0B0000}"/>
    <cellStyle name="▲_販促課会議03年7月資料_リシェントＴＯＰＳ" xfId="2133" xr:uid="{00000000-0005-0000-0000-0000FF0B0000}"/>
    <cellStyle name="▲_販促課会議03年7月資料_リシェントＴＯＰＳ 2" xfId="5752" xr:uid="{00000000-0005-0000-0000-0000000C0000}"/>
    <cellStyle name="▲_販促課会議03年7月資料_活動内容(13年振返り14年進め方）" xfId="2134" xr:uid="{00000000-0005-0000-0000-0000010C0000}"/>
    <cellStyle name="▲_販促課会議03年7月資料_活動内容(13年振返り14年進め方） 2" xfId="5753" xr:uid="{00000000-0005-0000-0000-0000020C0000}"/>
    <cellStyle name="▲_販促課会議03年7月資料_管轄ﾗｲﾝ構成1" xfId="2135" xr:uid="{00000000-0005-0000-0000-0000030C0000}"/>
    <cellStyle name="▲_販促課会議03年7月資料_工場長診断ドア" xfId="2136" xr:uid="{00000000-0005-0000-0000-0000040C0000}"/>
    <cellStyle name="▲_販促課会議03年7月資料_神奈川工務体制" xfId="2137" xr:uid="{00000000-0005-0000-0000-0000050C0000}"/>
    <cellStyle name="▲_販促課会議03年7月資料_設技12-004" xfId="2138" xr:uid="{00000000-0005-0000-0000-0000060C0000}"/>
    <cellStyle name="▲_販促課会議03年7月資料_専務診断報告資料(05.03.30)xls" xfId="2139" xr:uid="{00000000-0005-0000-0000-0000070C0000}"/>
    <cellStyle name="▲_販促課会議03年7月資料_専務診断報告資料（０６年３月度）" xfId="2140" xr:uid="{00000000-0005-0000-0000-0000080C0000}"/>
    <cellStyle name="▲_販促課会議03年7月資料_第33回品質実践研テーマ" xfId="2141" xr:uid="{00000000-0005-0000-0000-0000090C0000}"/>
    <cellStyle name="▲_販促課会議03年7月資料_第34回品質実践研テーマ" xfId="2142" xr:uid="{00000000-0005-0000-0000-00000A0C0000}"/>
    <cellStyle name="▲_販促課会議03年7月資料_第36回品質実践研テーマ" xfId="2143" xr:uid="{00000000-0005-0000-0000-00000B0C0000}"/>
    <cellStyle name="▲_販促課会議03年7月資料_第37回品質実践件テーマ（玄収扉）" xfId="2144" xr:uid="{00000000-0005-0000-0000-00000C0C0000}"/>
    <cellStyle name="▲_販促課会議03年7月資料_第37回品質実践研テーマ" xfId="2145" xr:uid="{00000000-0005-0000-0000-00000D0C0000}"/>
    <cellStyle name="▲_販促課会議03年7月資料_第38回品質実践研テーマ" xfId="2146" xr:uid="{00000000-0005-0000-0000-00000E0C0000}"/>
    <cellStyle name="▲_販促課会議03年7月資料_第39回品質実践研テーマ（クロ本体）" xfId="2147" xr:uid="{00000000-0005-0000-0000-00000F0C0000}"/>
    <cellStyle name="▲_販促課会議03年7月資料_第40回品質実践研テーマ" xfId="2148" xr:uid="{00000000-0005-0000-0000-0000100C0000}"/>
    <cellStyle name="▲_販促課会議03年7月資料_第４１回品質実践研（養生）" xfId="2149" xr:uid="{00000000-0005-0000-0000-0000110C0000}"/>
    <cellStyle name="▲_販促課会議03年7月資料_第41回品質実践研テーマ（玄収扉）" xfId="2150" xr:uid="{00000000-0005-0000-0000-0000120C0000}"/>
    <cellStyle name="▲_販促課会議03年7月資料_品質レベル（ドア枠Ｂ）" xfId="2151" xr:uid="{00000000-0005-0000-0000-0000130C0000}"/>
    <cellStyle name="▲_販促課会議03年7月資料_本部長診断会ドア" xfId="2152" xr:uid="{00000000-0005-0000-0000-0000140C0000}"/>
    <cellStyle name="▲_販売データ（全国）" xfId="2153" xr:uid="{00000000-0005-0000-0000-0000150C0000}"/>
    <cellStyle name="▲_標準作業組合せ票" xfId="2154" xr:uid="{00000000-0005-0000-0000-0000160C0000}"/>
    <cellStyle name="▲_標準作業組合せ票 2" xfId="5754" xr:uid="{00000000-0005-0000-0000-0000170C0000}"/>
    <cellStyle name="▲_品質４－６間活動報告" xfId="2155" xr:uid="{00000000-0005-0000-0000-0000180C0000}"/>
    <cellStyle name="▲_品質レベル（ドア枠Ｂ）" xfId="2156" xr:uid="{00000000-0005-0000-0000-0000190C0000}"/>
    <cellStyle name="▲_不良系統図" xfId="3671" xr:uid="{00000000-0005-0000-0000-00001A0C0000}"/>
    <cellStyle name="▲_不良系統図 2" xfId="3672" xr:uid="{00000000-0005-0000-0000-00001B0C0000}"/>
    <cellStyle name="▲_不良系統図 2 2" xfId="3673" xr:uid="{00000000-0005-0000-0000-00001C0C0000}"/>
    <cellStyle name="▲_不良系統図 2 2 2" xfId="3674" xr:uid="{00000000-0005-0000-0000-00001D0C0000}"/>
    <cellStyle name="▲_不良系統図 2 2 2 2" xfId="3675" xr:uid="{00000000-0005-0000-0000-00001E0C0000}"/>
    <cellStyle name="▲_不良系統図 2 2 3" xfId="3676" xr:uid="{00000000-0005-0000-0000-00001F0C0000}"/>
    <cellStyle name="▲_不良系統図 2 2 3 2" xfId="3677" xr:uid="{00000000-0005-0000-0000-0000200C0000}"/>
    <cellStyle name="▲_不良系統図 2 2 3 2 2" xfId="3678" xr:uid="{00000000-0005-0000-0000-0000210C0000}"/>
    <cellStyle name="▲_不良系統図 2 2 3 3" xfId="3679" xr:uid="{00000000-0005-0000-0000-0000220C0000}"/>
    <cellStyle name="▲_不良系統図 2 2 4" xfId="3680" xr:uid="{00000000-0005-0000-0000-0000230C0000}"/>
    <cellStyle name="▲_不良系統図 2 3" xfId="3681" xr:uid="{00000000-0005-0000-0000-0000240C0000}"/>
    <cellStyle name="▲_不良系統図 3" xfId="3682" xr:uid="{00000000-0005-0000-0000-0000250C0000}"/>
    <cellStyle name="▲_部品供給経緯２" xfId="2157" xr:uid="{00000000-0005-0000-0000-0000260C0000}"/>
    <cellStyle name="▲_部門間協働活動表" xfId="2158" xr:uid="{00000000-0005-0000-0000-0000270C0000}"/>
    <cellStyle name="▲_部門間協働活動表 2" xfId="5755" xr:uid="{00000000-0005-0000-0000-0000280C0000}"/>
    <cellStyle name="▲_部門間協働活動表_2012年度 保全担当者資料" xfId="2159" xr:uid="{00000000-0005-0000-0000-0000290C0000}"/>
    <cellStyle name="▲_部門間協働活動表_2012年度 保全担当者資料 2" xfId="5756" xr:uid="{00000000-0005-0000-0000-00002A0C0000}"/>
    <cellStyle name="▲_副本(中野)0609方針管理フォローシート " xfId="2160" xr:uid="{00000000-0005-0000-0000-00002B0C0000}"/>
    <cellStyle name="▲_副本部長診断071010（高木）最終版" xfId="2161" xr:uid="{00000000-0005-0000-0000-00002C0C0000}"/>
    <cellStyle name="▲_副本部長診断071010（高木）最終版 2" xfId="5757" xr:uid="{00000000-0005-0000-0000-00002D0C0000}"/>
    <cellStyle name="▲_副本部長診断071010（高木）最終版_2012年度 保全担当者資料" xfId="2162" xr:uid="{00000000-0005-0000-0000-00002E0C0000}"/>
    <cellStyle name="▲_副本部長診断071010（高木）最終版_2012年度 保全担当者資料 2" xfId="5758" xr:uid="{00000000-0005-0000-0000-00002F0C0000}"/>
    <cellStyle name="▲_方策展開系統図" xfId="2163" xr:uid="{00000000-0005-0000-0000-0000300C0000}"/>
    <cellStyle name="▲_方針展開表" xfId="104" xr:uid="{00000000-0005-0000-0000-0000310C0000}"/>
    <cellStyle name="▲_方針展開表 (2)" xfId="105" xr:uid="{00000000-0005-0000-0000-0000320C0000}"/>
    <cellStyle name="▲_方針展開表 (2) 2" xfId="3683" xr:uid="{00000000-0005-0000-0000-0000330C0000}"/>
    <cellStyle name="▲_方針展開表 (2) 2 2" xfId="3684" xr:uid="{00000000-0005-0000-0000-0000340C0000}"/>
    <cellStyle name="▲_方針展開表 (2) 3" xfId="3685" xr:uid="{00000000-0005-0000-0000-0000350C0000}"/>
    <cellStyle name="▲_方針展開表 (2) 3 2" xfId="3686" xr:uid="{00000000-0005-0000-0000-0000360C0000}"/>
    <cellStyle name="▲_方針展開表 (2) 3 2 2" xfId="3687" xr:uid="{00000000-0005-0000-0000-0000370C0000}"/>
    <cellStyle name="▲_方針展開表 (2) 3 3" xfId="3688" xr:uid="{00000000-0005-0000-0000-0000380C0000}"/>
    <cellStyle name="▲_方針展開表 (2) 4" xfId="3689" xr:uid="{00000000-0005-0000-0000-0000390C0000}"/>
    <cellStyle name="▲_方針展開表 (2)_(SR海外)_工程台帳" xfId="2164" xr:uid="{00000000-0005-0000-0000-00003A0C0000}"/>
    <cellStyle name="▲_方針展開表 (2)_(SR海外)_工程台帳 2" xfId="5759" xr:uid="{00000000-0005-0000-0000-00003B0C0000}"/>
    <cellStyle name="▲_方針展開表 (2)_《PL枠》12年度目指すべき姿" xfId="2165" xr:uid="{00000000-0005-0000-0000-00003C0C0000}"/>
    <cellStyle name="▲_方針展開表 (2)_《PL枠》12年度目指すべき姿 2" xfId="5760" xr:uid="{00000000-0005-0000-0000-00003D0C0000}"/>
    <cellStyle name="▲_方針展開表 (2)_《ベルスク２》12年度目指すべき姿" xfId="2166" xr:uid="{00000000-0005-0000-0000-00003E0C0000}"/>
    <cellStyle name="▲_方針展開表 (2)_《ベルスク２》12年度目指すべき姿 2" xfId="5761" xr:uid="{00000000-0005-0000-0000-00003F0C0000}"/>
    <cellStyle name="▲_方針展開表 (2)_【0907ライン別現象別比較】" xfId="2167" xr:uid="{00000000-0005-0000-0000-0000400C0000}"/>
    <cellStyle name="▲_方針展開表 (2)_【清水B】11年度フォローシート【品質】" xfId="2168" xr:uid="{00000000-0005-0000-0000-0000410C0000}"/>
    <cellStyle name="▲_方針展開表 (2)_【品質保証レベル（外観含み）】（製造課定義）xls" xfId="2169" xr:uid="{00000000-0005-0000-0000-0000420C0000}"/>
    <cellStyle name="▲_方針展開表 (2)_【品質保証レベル向上（まとめ）】" xfId="2170" xr:uid="{00000000-0005-0000-0000-0000430C0000}"/>
    <cellStyle name="▲_方針展開表 (2)_【有賀】09なし 間違い方策展開系統図 " xfId="2171" xr:uid="{00000000-0005-0000-0000-0000440C0000}"/>
    <cellStyle name="▲_方針展開表 (2)_■【12ライン別】製造原価率推移グラフ" xfId="2172" xr:uid="{00000000-0005-0000-0000-0000450C0000}"/>
    <cellStyle name="▲_方針展開表 (2)_０５年度方針実績" xfId="2173" xr:uid="{00000000-0005-0000-0000-0000460C0000}"/>
    <cellStyle name="▲_方針展開表 (2)_110706【清水Ｂ品質保証レベル向上進捗シート】xls" xfId="2174" xr:uid="{00000000-0005-0000-0000-0000470C0000}"/>
    <cellStyle name="▲_方針展開表 (2)_12年度本部長診断現場報告ドア枠" xfId="2175" xr:uid="{00000000-0005-0000-0000-0000480C0000}"/>
    <cellStyle name="▲_方針展開表 (2)_12年度本部長診断現場報告ドア枠 2" xfId="5762" xr:uid="{00000000-0005-0000-0000-0000490C0000}"/>
    <cellStyle name="▲_方針展開表 (2)_13年度上期生産性計画" xfId="2176" xr:uid="{00000000-0005-0000-0000-00004A0C0000}"/>
    <cellStyle name="▲_方針展開表 (2)_13年度反省書(SR係)" xfId="2177" xr:uid="{00000000-0005-0000-0000-00004B0C0000}"/>
    <cellStyle name="▲_方針展開表 (2)_35回品質実践研テーマ" xfId="2178" xr:uid="{00000000-0005-0000-0000-00004C0C0000}"/>
    <cellStyle name="▲_方針展開表 (2)_ＢＰ説明資料" xfId="2179" xr:uid="{00000000-0005-0000-0000-00004D0C0000}"/>
    <cellStyle name="▲_方針展開表 (2)_FA" xfId="2180" xr:uid="{00000000-0005-0000-0000-00004E0C0000}"/>
    <cellStyle name="▲_方針展開表 (2)_FA 2" xfId="5763" xr:uid="{00000000-0005-0000-0000-00004F0C0000}"/>
    <cellStyle name="▲_方針展開表 (2)_Ｈ改善ＳＨ" xfId="2181" xr:uid="{00000000-0005-0000-0000-0000500C0000}"/>
    <cellStyle name="▲_方針展開表 (2)_TOPS実践スケジュール（土浦_K" xfId="2182" xr:uid="{00000000-0005-0000-0000-0000510C0000}"/>
    <cellStyle name="▲_方針展開表 (2)_ページ1" xfId="2183" xr:uid="{00000000-0005-0000-0000-0000520C0000}"/>
    <cellStyle name="▲_方針展開表 (2)_ページ1 2" xfId="5764" xr:uid="{00000000-0005-0000-0000-0000530C0000}"/>
    <cellStyle name="▲_方針展開表 (2)_リシェントＴＯＰＳ" xfId="2184" xr:uid="{00000000-0005-0000-0000-0000540C0000}"/>
    <cellStyle name="▲_方針展開表 (2)_リシェントＴＯＰＳ 2" xfId="5765" xr:uid="{00000000-0005-0000-0000-0000550C0000}"/>
    <cellStyle name="▲_方針展開表 (2)_活動内容(13年振返り14年進め方）" xfId="2185" xr:uid="{00000000-0005-0000-0000-0000560C0000}"/>
    <cellStyle name="▲_方針展開表 (2)_活動内容(13年振返り14年進め方） 2" xfId="5766" xr:uid="{00000000-0005-0000-0000-0000570C0000}"/>
    <cellStyle name="▲_方針展開表 (2)_管轄ﾗｲﾝ構成1" xfId="2186" xr:uid="{00000000-0005-0000-0000-0000580C0000}"/>
    <cellStyle name="▲_方針展開表 (2)_工場長診断ドア" xfId="2187" xr:uid="{00000000-0005-0000-0000-0000590C0000}"/>
    <cellStyle name="▲_方針展開表 (2)_神奈川工務体制" xfId="2188" xr:uid="{00000000-0005-0000-0000-00005A0C0000}"/>
    <cellStyle name="▲_方針展開表 (2)_設技12-004" xfId="2189" xr:uid="{00000000-0005-0000-0000-00005B0C0000}"/>
    <cellStyle name="▲_方針展開表 (2)_専務診断報告資料(05.03.30)xls" xfId="2190" xr:uid="{00000000-0005-0000-0000-00005C0C0000}"/>
    <cellStyle name="▲_方針展開表 (2)_専務診断報告資料（０６年３月度）" xfId="2191" xr:uid="{00000000-0005-0000-0000-00005D0C0000}"/>
    <cellStyle name="▲_方針展開表 (2)_第33回品質実践研テーマ" xfId="2192" xr:uid="{00000000-0005-0000-0000-00005E0C0000}"/>
    <cellStyle name="▲_方針展開表 (2)_第34回品質実践研テーマ" xfId="2193" xr:uid="{00000000-0005-0000-0000-00005F0C0000}"/>
    <cellStyle name="▲_方針展開表 (2)_第36回品質実践研テーマ" xfId="2194" xr:uid="{00000000-0005-0000-0000-0000600C0000}"/>
    <cellStyle name="▲_方針展開表 (2)_第37回品質実践件テーマ（玄収扉）" xfId="2195" xr:uid="{00000000-0005-0000-0000-0000610C0000}"/>
    <cellStyle name="▲_方針展開表 (2)_第37回品質実践研テーマ" xfId="2196" xr:uid="{00000000-0005-0000-0000-0000620C0000}"/>
    <cellStyle name="▲_方針展開表 (2)_第38回品質実践研テーマ" xfId="2197" xr:uid="{00000000-0005-0000-0000-0000630C0000}"/>
    <cellStyle name="▲_方針展開表 (2)_第39回品質実践研テーマ（クロ本体）" xfId="2198" xr:uid="{00000000-0005-0000-0000-0000640C0000}"/>
    <cellStyle name="▲_方針展開表 (2)_第40回品質実践研テーマ" xfId="2199" xr:uid="{00000000-0005-0000-0000-0000650C0000}"/>
    <cellStyle name="▲_方針展開表 (2)_第４１回品質実践研（養生）" xfId="2200" xr:uid="{00000000-0005-0000-0000-0000660C0000}"/>
    <cellStyle name="▲_方針展開表 (2)_第41回品質実践研テーマ（玄収扉）" xfId="2201" xr:uid="{00000000-0005-0000-0000-0000670C0000}"/>
    <cellStyle name="▲_方針展開表 (2)_品質レベル（ドア枠Ｂ）" xfId="2202" xr:uid="{00000000-0005-0000-0000-0000680C0000}"/>
    <cellStyle name="▲_方針展開表 (2)_本部長診断会ドア" xfId="2203" xr:uid="{00000000-0005-0000-0000-0000690C0000}"/>
    <cellStyle name="▲_方針展開表 (3)" xfId="106" xr:uid="{00000000-0005-0000-0000-00006A0C0000}"/>
    <cellStyle name="▲_方針展開表 (3) 2" xfId="3690" xr:uid="{00000000-0005-0000-0000-00006B0C0000}"/>
    <cellStyle name="▲_方針展開表 (3) 2 2" xfId="3691" xr:uid="{00000000-0005-0000-0000-00006C0C0000}"/>
    <cellStyle name="▲_方針展開表 (3) 3" xfId="3692" xr:uid="{00000000-0005-0000-0000-00006D0C0000}"/>
    <cellStyle name="▲_方針展開表 (3) 3 2" xfId="3693" xr:uid="{00000000-0005-0000-0000-00006E0C0000}"/>
    <cellStyle name="▲_方針展開表 (3) 3 2 2" xfId="3694" xr:uid="{00000000-0005-0000-0000-00006F0C0000}"/>
    <cellStyle name="▲_方針展開表 (3) 3 3" xfId="3695" xr:uid="{00000000-0005-0000-0000-0000700C0000}"/>
    <cellStyle name="▲_方針展開表 (3) 4" xfId="3696" xr:uid="{00000000-0005-0000-0000-0000710C0000}"/>
    <cellStyle name="▲_方針展開表 (3)_(SR海外)_工程台帳" xfId="2204" xr:uid="{00000000-0005-0000-0000-0000720C0000}"/>
    <cellStyle name="▲_方針展開表 (3)_(SR海外)_工程台帳 2" xfId="5767" xr:uid="{00000000-0005-0000-0000-0000730C0000}"/>
    <cellStyle name="▲_方針展開表 (3)_《PL枠》12年度目指すべき姿" xfId="2205" xr:uid="{00000000-0005-0000-0000-0000740C0000}"/>
    <cellStyle name="▲_方針展開表 (3)_《PL枠》12年度目指すべき姿 2" xfId="5768" xr:uid="{00000000-0005-0000-0000-0000750C0000}"/>
    <cellStyle name="▲_方針展開表 (3)_《ベルスク２》12年度目指すべき姿" xfId="2206" xr:uid="{00000000-0005-0000-0000-0000760C0000}"/>
    <cellStyle name="▲_方針展開表 (3)_《ベルスク２》12年度目指すべき姿 2" xfId="5769" xr:uid="{00000000-0005-0000-0000-0000770C0000}"/>
    <cellStyle name="▲_方針展開表 (3)_【0907ライン別現象別比較】" xfId="2207" xr:uid="{00000000-0005-0000-0000-0000780C0000}"/>
    <cellStyle name="▲_方針展開表 (3)_【清水B】11年度フォローシート【品質】" xfId="2208" xr:uid="{00000000-0005-0000-0000-0000790C0000}"/>
    <cellStyle name="▲_方針展開表 (3)_【品質保証レベル（外観含み）】（製造課定義）xls" xfId="2209" xr:uid="{00000000-0005-0000-0000-00007A0C0000}"/>
    <cellStyle name="▲_方針展開表 (3)_【品質保証レベル向上（まとめ）】" xfId="2210" xr:uid="{00000000-0005-0000-0000-00007B0C0000}"/>
    <cellStyle name="▲_方針展開表 (3)_【有賀】09なし 間違い方策展開系統図 " xfId="2211" xr:uid="{00000000-0005-0000-0000-00007C0C0000}"/>
    <cellStyle name="▲_方針展開表 (3)_■【12ライン別】製造原価率推移グラフ" xfId="2212" xr:uid="{00000000-0005-0000-0000-00007D0C0000}"/>
    <cellStyle name="▲_方針展開表 (3)_０５年度方針実績" xfId="2213" xr:uid="{00000000-0005-0000-0000-00007E0C0000}"/>
    <cellStyle name="▲_方針展開表 (3)_110706【清水Ｂ品質保証レベル向上進捗シート】xls" xfId="2214" xr:uid="{00000000-0005-0000-0000-00007F0C0000}"/>
    <cellStyle name="▲_方針展開表 (3)_12年度本部長診断現場報告ドア枠" xfId="2215" xr:uid="{00000000-0005-0000-0000-0000800C0000}"/>
    <cellStyle name="▲_方針展開表 (3)_12年度本部長診断現場報告ドア枠 2" xfId="5770" xr:uid="{00000000-0005-0000-0000-0000810C0000}"/>
    <cellStyle name="▲_方針展開表 (3)_13年度上期生産性計画" xfId="2216" xr:uid="{00000000-0005-0000-0000-0000820C0000}"/>
    <cellStyle name="▲_方針展開表 (3)_13年度反省書(SR係)" xfId="2217" xr:uid="{00000000-0005-0000-0000-0000830C0000}"/>
    <cellStyle name="▲_方針展開表 (3)_35回品質実践研テーマ" xfId="2218" xr:uid="{00000000-0005-0000-0000-0000840C0000}"/>
    <cellStyle name="▲_方針展開表 (3)_ＢＰ説明資料" xfId="2219" xr:uid="{00000000-0005-0000-0000-0000850C0000}"/>
    <cellStyle name="▲_方針展開表 (3)_FA" xfId="2220" xr:uid="{00000000-0005-0000-0000-0000860C0000}"/>
    <cellStyle name="▲_方針展開表 (3)_FA 2" xfId="5771" xr:uid="{00000000-0005-0000-0000-0000870C0000}"/>
    <cellStyle name="▲_方針展開表 (3)_Ｈ改善ＳＨ" xfId="2221" xr:uid="{00000000-0005-0000-0000-0000880C0000}"/>
    <cellStyle name="▲_方針展開表 (3)_TOPS実践スケジュール（土浦_K" xfId="2222" xr:uid="{00000000-0005-0000-0000-0000890C0000}"/>
    <cellStyle name="▲_方針展開表 (3)_ページ1" xfId="2223" xr:uid="{00000000-0005-0000-0000-00008A0C0000}"/>
    <cellStyle name="▲_方針展開表 (3)_ページ1 2" xfId="5772" xr:uid="{00000000-0005-0000-0000-00008B0C0000}"/>
    <cellStyle name="▲_方針展開表 (3)_リシェントＴＯＰＳ" xfId="2224" xr:uid="{00000000-0005-0000-0000-00008C0C0000}"/>
    <cellStyle name="▲_方針展開表 (3)_リシェントＴＯＰＳ 2" xfId="5773" xr:uid="{00000000-0005-0000-0000-00008D0C0000}"/>
    <cellStyle name="▲_方針展開表 (3)_活動内容(13年振返り14年進め方）" xfId="2225" xr:uid="{00000000-0005-0000-0000-00008E0C0000}"/>
    <cellStyle name="▲_方針展開表 (3)_活動内容(13年振返り14年進め方） 2" xfId="5774" xr:uid="{00000000-0005-0000-0000-00008F0C0000}"/>
    <cellStyle name="▲_方針展開表 (3)_管轄ﾗｲﾝ構成1" xfId="2226" xr:uid="{00000000-0005-0000-0000-0000900C0000}"/>
    <cellStyle name="▲_方針展開表 (3)_工場長診断ドア" xfId="2227" xr:uid="{00000000-0005-0000-0000-0000910C0000}"/>
    <cellStyle name="▲_方針展開表 (3)_神奈川工務体制" xfId="2228" xr:uid="{00000000-0005-0000-0000-0000920C0000}"/>
    <cellStyle name="▲_方針展開表 (3)_設技12-004" xfId="2229" xr:uid="{00000000-0005-0000-0000-0000930C0000}"/>
    <cellStyle name="▲_方針展開表 (3)_専務診断報告資料(05.03.30)xls" xfId="2230" xr:uid="{00000000-0005-0000-0000-0000940C0000}"/>
    <cellStyle name="▲_方針展開表 (3)_専務診断報告資料（０６年３月度）" xfId="2231" xr:uid="{00000000-0005-0000-0000-0000950C0000}"/>
    <cellStyle name="▲_方針展開表 (3)_第33回品質実践研テーマ" xfId="2232" xr:uid="{00000000-0005-0000-0000-0000960C0000}"/>
    <cellStyle name="▲_方針展開表 (3)_第34回品質実践研テーマ" xfId="2233" xr:uid="{00000000-0005-0000-0000-0000970C0000}"/>
    <cellStyle name="▲_方針展開表 (3)_第36回品質実践研テーマ" xfId="2234" xr:uid="{00000000-0005-0000-0000-0000980C0000}"/>
    <cellStyle name="▲_方針展開表 (3)_第37回品質実践件テーマ（玄収扉）" xfId="2235" xr:uid="{00000000-0005-0000-0000-0000990C0000}"/>
    <cellStyle name="▲_方針展開表 (3)_第37回品質実践研テーマ" xfId="2236" xr:uid="{00000000-0005-0000-0000-00009A0C0000}"/>
    <cellStyle name="▲_方針展開表 (3)_第38回品質実践研テーマ" xfId="2237" xr:uid="{00000000-0005-0000-0000-00009B0C0000}"/>
    <cellStyle name="▲_方針展開表 (3)_第39回品質実践研テーマ（クロ本体）" xfId="2238" xr:uid="{00000000-0005-0000-0000-00009C0C0000}"/>
    <cellStyle name="▲_方針展開表 (3)_第40回品質実践研テーマ" xfId="2239" xr:uid="{00000000-0005-0000-0000-00009D0C0000}"/>
    <cellStyle name="▲_方針展開表 (3)_第４１回品質実践研（養生）" xfId="2240" xr:uid="{00000000-0005-0000-0000-00009E0C0000}"/>
    <cellStyle name="▲_方針展開表 (3)_第41回品質実践研テーマ（玄収扉）" xfId="2241" xr:uid="{00000000-0005-0000-0000-00009F0C0000}"/>
    <cellStyle name="▲_方針展開表 (3)_品質レベル（ドア枠Ｂ）" xfId="2242" xr:uid="{00000000-0005-0000-0000-0000A00C0000}"/>
    <cellStyle name="▲_方針展開表 (3)_本部長診断会ドア" xfId="2243" xr:uid="{00000000-0005-0000-0000-0000A10C0000}"/>
    <cellStyle name="▲_方針展開表 2" xfId="3697" xr:uid="{00000000-0005-0000-0000-0000A20C0000}"/>
    <cellStyle name="▲_方針展開表 2 2" xfId="3698" xr:uid="{00000000-0005-0000-0000-0000A30C0000}"/>
    <cellStyle name="▲_方針展開表 3" xfId="3699" xr:uid="{00000000-0005-0000-0000-0000A40C0000}"/>
    <cellStyle name="▲_方針展開表 3 2" xfId="3700" xr:uid="{00000000-0005-0000-0000-0000A50C0000}"/>
    <cellStyle name="▲_方針展開表 3 2 2" xfId="3701" xr:uid="{00000000-0005-0000-0000-0000A60C0000}"/>
    <cellStyle name="▲_方針展開表 3 3" xfId="3702" xr:uid="{00000000-0005-0000-0000-0000A70C0000}"/>
    <cellStyle name="▲_方針展開表 4" xfId="3703" xr:uid="{00000000-0005-0000-0000-0000A80C0000}"/>
    <cellStyle name="▲_方針展開表 4 2" xfId="3704" xr:uid="{00000000-0005-0000-0000-0000A90C0000}"/>
    <cellStyle name="▲_方針展開表 4 2 2" xfId="3705" xr:uid="{00000000-0005-0000-0000-0000AA0C0000}"/>
    <cellStyle name="▲_方針展開表 4 3" xfId="3706" xr:uid="{00000000-0005-0000-0000-0000AB0C0000}"/>
    <cellStyle name="▲_方針展開表 5" xfId="3707" xr:uid="{00000000-0005-0000-0000-0000AC0C0000}"/>
    <cellStyle name="▲_方針展開表 5 2" xfId="3708" xr:uid="{00000000-0005-0000-0000-0000AD0C0000}"/>
    <cellStyle name="▲_方針展開表 5 2 2" xfId="3709" xr:uid="{00000000-0005-0000-0000-0000AE0C0000}"/>
    <cellStyle name="▲_方針展開表 5 3" xfId="3710" xr:uid="{00000000-0005-0000-0000-0000AF0C0000}"/>
    <cellStyle name="▲_方針展開表 6" xfId="3711" xr:uid="{00000000-0005-0000-0000-0000B00C0000}"/>
    <cellStyle name="▲_方針展開表 6 2" xfId="3712" xr:uid="{00000000-0005-0000-0000-0000B10C0000}"/>
    <cellStyle name="▲_方針展開表 7" xfId="3713" xr:uid="{00000000-0005-0000-0000-0000B20C0000}"/>
    <cellStyle name="▲_方針展開表 8" xfId="3714" xr:uid="{00000000-0005-0000-0000-0000B30C0000}"/>
    <cellStyle name="▲_方針展開表_(SR海外)_工程台帳" xfId="2244" xr:uid="{00000000-0005-0000-0000-0000B40C0000}"/>
    <cellStyle name="▲_方針展開表_(SR海外)_工程台帳 2" xfId="5775" xr:uid="{00000000-0005-0000-0000-0000B50C0000}"/>
    <cellStyle name="▲_方針展開表_《PL枠》12年度目指すべき姿" xfId="2245" xr:uid="{00000000-0005-0000-0000-0000B60C0000}"/>
    <cellStyle name="▲_方針展開表_《PL枠》12年度目指すべき姿 2" xfId="5776" xr:uid="{00000000-0005-0000-0000-0000B70C0000}"/>
    <cellStyle name="▲_方針展開表_《ベルスク２》12年度目指すべき姿" xfId="2246" xr:uid="{00000000-0005-0000-0000-0000B80C0000}"/>
    <cellStyle name="▲_方針展開表_《ベルスク２》12年度目指すべき姿 2" xfId="5777" xr:uid="{00000000-0005-0000-0000-0000B90C0000}"/>
    <cellStyle name="▲_方針展開表_【0907ライン別現象別比較】" xfId="2247" xr:uid="{00000000-0005-0000-0000-0000BA0C0000}"/>
    <cellStyle name="▲_方針展開表_【清水B】11年度フォローシート【品質】" xfId="2248" xr:uid="{00000000-0005-0000-0000-0000BB0C0000}"/>
    <cellStyle name="▲_方針展開表_【品質保証レベル（外観含み）】（製造課定義）xls" xfId="2249" xr:uid="{00000000-0005-0000-0000-0000BC0C0000}"/>
    <cellStyle name="▲_方針展開表_【品質保証レベル向上（まとめ）】" xfId="2250" xr:uid="{00000000-0005-0000-0000-0000BD0C0000}"/>
    <cellStyle name="▲_方針展開表_【有賀】09なし 間違い方策展開系統図 " xfId="2251" xr:uid="{00000000-0005-0000-0000-0000BE0C0000}"/>
    <cellStyle name="▲_方針展開表_■【12ライン別】製造原価率推移グラフ" xfId="2252" xr:uid="{00000000-0005-0000-0000-0000BF0C0000}"/>
    <cellStyle name="▲_方針展開表_０５年度方針実績" xfId="2253" xr:uid="{00000000-0005-0000-0000-0000C00C0000}"/>
    <cellStyle name="▲_方針展開表_110706【清水Ｂ品質保証レベル向上進捗シート】xls" xfId="2254" xr:uid="{00000000-0005-0000-0000-0000C10C0000}"/>
    <cellStyle name="▲_方針展開表_12年度本部長診断現場報告ドア枠" xfId="2255" xr:uid="{00000000-0005-0000-0000-0000C20C0000}"/>
    <cellStyle name="▲_方針展開表_12年度本部長診断現場報告ドア枠 2" xfId="5778" xr:uid="{00000000-0005-0000-0000-0000C30C0000}"/>
    <cellStyle name="▲_方針展開表_13年度上期生産性計画" xfId="2256" xr:uid="{00000000-0005-0000-0000-0000C40C0000}"/>
    <cellStyle name="▲_方針展開表_13年度反省書(SR係)" xfId="2257" xr:uid="{00000000-0005-0000-0000-0000C50C0000}"/>
    <cellStyle name="▲_方針展開表_35回品質実践研テーマ" xfId="2258" xr:uid="{00000000-0005-0000-0000-0000C60C0000}"/>
    <cellStyle name="▲_方針展開表_ＢＰ説明資料" xfId="2259" xr:uid="{00000000-0005-0000-0000-0000C70C0000}"/>
    <cellStyle name="▲_方針展開表_FA" xfId="2260" xr:uid="{00000000-0005-0000-0000-0000C80C0000}"/>
    <cellStyle name="▲_方針展開表_FA 2" xfId="5779" xr:uid="{00000000-0005-0000-0000-0000C90C0000}"/>
    <cellStyle name="▲_方針展開表_Ｈ改善ＳＨ" xfId="2261" xr:uid="{00000000-0005-0000-0000-0000CA0C0000}"/>
    <cellStyle name="▲_方針展開表_TOPS実践スケジュール（土浦_K" xfId="2262" xr:uid="{00000000-0005-0000-0000-0000CB0C0000}"/>
    <cellStyle name="▲_方針展開表_ページ1" xfId="2263" xr:uid="{00000000-0005-0000-0000-0000CC0C0000}"/>
    <cellStyle name="▲_方針展開表_ページ1 2" xfId="5780" xr:uid="{00000000-0005-0000-0000-0000CD0C0000}"/>
    <cellStyle name="▲_方針展開表_リシェントＴＯＰＳ" xfId="2264" xr:uid="{00000000-0005-0000-0000-0000CE0C0000}"/>
    <cellStyle name="▲_方針展開表_リシェントＴＯＰＳ 2" xfId="5781" xr:uid="{00000000-0005-0000-0000-0000CF0C0000}"/>
    <cellStyle name="▲_方針展開表_活動内容(13年振返り14年進め方）" xfId="2265" xr:uid="{00000000-0005-0000-0000-0000D00C0000}"/>
    <cellStyle name="▲_方針展開表_活動内容(13年振返り14年進め方） 2" xfId="5782" xr:uid="{00000000-0005-0000-0000-0000D10C0000}"/>
    <cellStyle name="▲_方針展開表_管轄ﾗｲﾝ構成1" xfId="2266" xr:uid="{00000000-0005-0000-0000-0000D20C0000}"/>
    <cellStyle name="▲_方針展開表_工場長診断ドア" xfId="2267" xr:uid="{00000000-0005-0000-0000-0000D30C0000}"/>
    <cellStyle name="▲_方針展開表_神奈川工務体制" xfId="2268" xr:uid="{00000000-0005-0000-0000-0000D40C0000}"/>
    <cellStyle name="▲_方針展開表_設技12-004" xfId="2269" xr:uid="{00000000-0005-0000-0000-0000D50C0000}"/>
    <cellStyle name="▲_方針展開表_専務診断報告資料(05.03.30)xls" xfId="2270" xr:uid="{00000000-0005-0000-0000-0000D60C0000}"/>
    <cellStyle name="▲_方針展開表_専務診断報告資料（０６年３月度）" xfId="2271" xr:uid="{00000000-0005-0000-0000-0000D70C0000}"/>
    <cellStyle name="▲_方針展開表_第33回品質実践研テーマ" xfId="2272" xr:uid="{00000000-0005-0000-0000-0000D80C0000}"/>
    <cellStyle name="▲_方針展開表_第34回品質実践研テーマ" xfId="2273" xr:uid="{00000000-0005-0000-0000-0000D90C0000}"/>
    <cellStyle name="▲_方針展開表_第36回品質実践研テーマ" xfId="2274" xr:uid="{00000000-0005-0000-0000-0000DA0C0000}"/>
    <cellStyle name="▲_方針展開表_第37回品質実践件テーマ（玄収扉）" xfId="2275" xr:uid="{00000000-0005-0000-0000-0000DB0C0000}"/>
    <cellStyle name="▲_方針展開表_第37回品質実践研テーマ" xfId="2276" xr:uid="{00000000-0005-0000-0000-0000DC0C0000}"/>
    <cellStyle name="▲_方針展開表_第38回品質実践研テーマ" xfId="2277" xr:uid="{00000000-0005-0000-0000-0000DD0C0000}"/>
    <cellStyle name="▲_方針展開表_第39回品質実践研テーマ（クロ本体）" xfId="2278" xr:uid="{00000000-0005-0000-0000-0000DE0C0000}"/>
    <cellStyle name="▲_方針展開表_第40回品質実践研テーマ" xfId="2279" xr:uid="{00000000-0005-0000-0000-0000DF0C0000}"/>
    <cellStyle name="▲_方針展開表_第４１回品質実践研（養生）" xfId="2280" xr:uid="{00000000-0005-0000-0000-0000E00C0000}"/>
    <cellStyle name="▲_方針展開表_第41回品質実践研テーマ（玄収扉）" xfId="2281" xr:uid="{00000000-0005-0000-0000-0000E10C0000}"/>
    <cellStyle name="▲_方針展開表_品質レベル（ドア枠Ｂ）" xfId="2282" xr:uid="{00000000-0005-0000-0000-0000E20C0000}"/>
    <cellStyle name="▲_方針展開表_本部長診断会ドア" xfId="2283" xr:uid="{00000000-0005-0000-0000-0000E30C0000}"/>
    <cellStyle name="▲_方針発表会フォーマット" xfId="3715" xr:uid="{00000000-0005-0000-0000-0000E40C0000}"/>
    <cellStyle name="▲_方針報告用データ(201309)" xfId="3716" xr:uid="{00000000-0005-0000-0000-0000E50C0000}"/>
    <cellStyle name="▲_北東北支店03年8月見込" xfId="107" xr:uid="{00000000-0005-0000-0000-0000E60C0000}"/>
    <cellStyle name="▲_北東北支店03年8月見込 2" xfId="3717" xr:uid="{00000000-0005-0000-0000-0000E70C0000}"/>
    <cellStyle name="▲_北東北支店03年8月見込 2 2" xfId="3718" xr:uid="{00000000-0005-0000-0000-0000E80C0000}"/>
    <cellStyle name="▲_北東北支店03年8月見込 3" xfId="3719" xr:uid="{00000000-0005-0000-0000-0000E90C0000}"/>
    <cellStyle name="▲_北東北支店03年8月見込 3 2" xfId="3720" xr:uid="{00000000-0005-0000-0000-0000EA0C0000}"/>
    <cellStyle name="▲_北東北支店03年8月見込 3 2 2" xfId="3721" xr:uid="{00000000-0005-0000-0000-0000EB0C0000}"/>
    <cellStyle name="▲_北東北支店03年8月見込 3 3" xfId="3722" xr:uid="{00000000-0005-0000-0000-0000EC0C0000}"/>
    <cellStyle name="▲_北東北支店03年8月見込 4" xfId="3723" xr:uid="{00000000-0005-0000-0000-0000ED0C0000}"/>
    <cellStyle name="▲_北東北支店03年8月見込_(SR海外)_工程台帳" xfId="2284" xr:uid="{00000000-0005-0000-0000-0000EE0C0000}"/>
    <cellStyle name="▲_北東北支店03年8月見込_(SR海外)_工程台帳 2" xfId="5783" xr:uid="{00000000-0005-0000-0000-0000EF0C0000}"/>
    <cellStyle name="▲_北東北支店03年8月見込_《PL枠》12年度目指すべき姿" xfId="2285" xr:uid="{00000000-0005-0000-0000-0000F00C0000}"/>
    <cellStyle name="▲_北東北支店03年8月見込_《PL枠》12年度目指すべき姿 2" xfId="5784" xr:uid="{00000000-0005-0000-0000-0000F10C0000}"/>
    <cellStyle name="▲_北東北支店03年8月見込_《ベルスク２》12年度目指すべき姿" xfId="2286" xr:uid="{00000000-0005-0000-0000-0000F20C0000}"/>
    <cellStyle name="▲_北東北支店03年8月見込_《ベルスク２》12年度目指すべき姿 2" xfId="5785" xr:uid="{00000000-0005-0000-0000-0000F30C0000}"/>
    <cellStyle name="▲_北東北支店03年8月見込_【0907ライン別現象別比較】" xfId="2287" xr:uid="{00000000-0005-0000-0000-0000F40C0000}"/>
    <cellStyle name="▲_北東北支店03年8月見込_【清水B】11年度フォローシート【品質】" xfId="2288" xr:uid="{00000000-0005-0000-0000-0000F50C0000}"/>
    <cellStyle name="▲_北東北支店03年8月見込_【品質保証レベル（外観含み）】（製造課定義）xls" xfId="2289" xr:uid="{00000000-0005-0000-0000-0000F60C0000}"/>
    <cellStyle name="▲_北東北支店03年8月見込_【品質保証レベル向上（まとめ）】" xfId="2290" xr:uid="{00000000-0005-0000-0000-0000F70C0000}"/>
    <cellStyle name="▲_北東北支店03年8月見込_【有賀】09なし 間違い方策展開系統図 " xfId="2291" xr:uid="{00000000-0005-0000-0000-0000F80C0000}"/>
    <cellStyle name="▲_北東北支店03年8月見込_■【12ライン別】製造原価率推移グラフ" xfId="2292" xr:uid="{00000000-0005-0000-0000-0000F90C0000}"/>
    <cellStyle name="▲_北東北支店03年8月見込_０５年度方針実績" xfId="2293" xr:uid="{00000000-0005-0000-0000-0000FA0C0000}"/>
    <cellStyle name="▲_北東北支店03年8月見込_110706【清水Ｂ品質保証レベル向上進捗シート】xls" xfId="2294" xr:uid="{00000000-0005-0000-0000-0000FB0C0000}"/>
    <cellStyle name="▲_北東北支店03年8月見込_12年度本部長診断現場報告ドア枠" xfId="2295" xr:uid="{00000000-0005-0000-0000-0000FC0C0000}"/>
    <cellStyle name="▲_北東北支店03年8月見込_12年度本部長診断現場報告ドア枠 2" xfId="5786" xr:uid="{00000000-0005-0000-0000-0000FD0C0000}"/>
    <cellStyle name="▲_北東北支店03年8月見込_13年度上期生産性計画" xfId="2296" xr:uid="{00000000-0005-0000-0000-0000FE0C0000}"/>
    <cellStyle name="▲_北東北支店03年8月見込_13年度反省書(SR係)" xfId="2297" xr:uid="{00000000-0005-0000-0000-0000FF0C0000}"/>
    <cellStyle name="▲_北東北支店03年8月見込_35回品質実践研テーマ" xfId="2298" xr:uid="{00000000-0005-0000-0000-0000000D0000}"/>
    <cellStyle name="▲_北東北支店03年8月見込_ＢＰ説明資料" xfId="2299" xr:uid="{00000000-0005-0000-0000-0000010D0000}"/>
    <cellStyle name="▲_北東北支店03年8月見込_FA" xfId="2300" xr:uid="{00000000-0005-0000-0000-0000020D0000}"/>
    <cellStyle name="▲_北東北支店03年8月見込_FA 2" xfId="5787" xr:uid="{00000000-0005-0000-0000-0000030D0000}"/>
    <cellStyle name="▲_北東北支店03年8月見込_Ｈ改善ＳＨ" xfId="2301" xr:uid="{00000000-0005-0000-0000-0000040D0000}"/>
    <cellStyle name="▲_北東北支店03年8月見込_TOPS実践スケジュール（土浦_K" xfId="2302" xr:uid="{00000000-0005-0000-0000-0000050D0000}"/>
    <cellStyle name="▲_北東北支店03年8月見込_ページ1" xfId="2303" xr:uid="{00000000-0005-0000-0000-0000060D0000}"/>
    <cellStyle name="▲_北東北支店03年8月見込_ページ1 2" xfId="5788" xr:uid="{00000000-0005-0000-0000-0000070D0000}"/>
    <cellStyle name="▲_北東北支店03年8月見込_リシェントＴＯＰＳ" xfId="2304" xr:uid="{00000000-0005-0000-0000-0000080D0000}"/>
    <cellStyle name="▲_北東北支店03年8月見込_リシェントＴＯＰＳ 2" xfId="5789" xr:uid="{00000000-0005-0000-0000-0000090D0000}"/>
    <cellStyle name="▲_北東北支店03年8月見込_活動内容(13年振返り14年進め方）" xfId="2305" xr:uid="{00000000-0005-0000-0000-00000A0D0000}"/>
    <cellStyle name="▲_北東北支店03年8月見込_活動内容(13年振返り14年進め方） 2" xfId="5790" xr:uid="{00000000-0005-0000-0000-00000B0D0000}"/>
    <cellStyle name="▲_北東北支店03年8月見込_管轄ﾗｲﾝ構成1" xfId="2306" xr:uid="{00000000-0005-0000-0000-00000C0D0000}"/>
    <cellStyle name="▲_北東北支店03年8月見込_工場長診断ドア" xfId="2307" xr:uid="{00000000-0005-0000-0000-00000D0D0000}"/>
    <cellStyle name="▲_北東北支店03年8月見込_神奈川工務体制" xfId="2308" xr:uid="{00000000-0005-0000-0000-00000E0D0000}"/>
    <cellStyle name="▲_北東北支店03年8月見込_設技12-004" xfId="2309" xr:uid="{00000000-0005-0000-0000-00000F0D0000}"/>
    <cellStyle name="▲_北東北支店03年8月見込_専務診断報告資料(05.03.30)xls" xfId="2310" xr:uid="{00000000-0005-0000-0000-0000100D0000}"/>
    <cellStyle name="▲_北東北支店03年8月見込_専務診断報告資料（０６年３月度）" xfId="2311" xr:uid="{00000000-0005-0000-0000-0000110D0000}"/>
    <cellStyle name="▲_北東北支店03年8月見込_第33回品質実践研テーマ" xfId="2312" xr:uid="{00000000-0005-0000-0000-0000120D0000}"/>
    <cellStyle name="▲_北東北支店03年8月見込_第34回品質実践研テーマ" xfId="2313" xr:uid="{00000000-0005-0000-0000-0000130D0000}"/>
    <cellStyle name="▲_北東北支店03年8月見込_第36回品質実践研テーマ" xfId="2314" xr:uid="{00000000-0005-0000-0000-0000140D0000}"/>
    <cellStyle name="▲_北東北支店03年8月見込_第37回品質実践件テーマ（玄収扉）" xfId="2315" xr:uid="{00000000-0005-0000-0000-0000150D0000}"/>
    <cellStyle name="▲_北東北支店03年8月見込_第37回品質実践研テーマ" xfId="2316" xr:uid="{00000000-0005-0000-0000-0000160D0000}"/>
    <cellStyle name="▲_北東北支店03年8月見込_第38回品質実践研テーマ" xfId="2317" xr:uid="{00000000-0005-0000-0000-0000170D0000}"/>
    <cellStyle name="▲_北東北支店03年8月見込_第39回品質実践研テーマ（クロ本体）" xfId="2318" xr:uid="{00000000-0005-0000-0000-0000180D0000}"/>
    <cellStyle name="▲_北東北支店03年8月見込_第40回品質実践研テーマ" xfId="2319" xr:uid="{00000000-0005-0000-0000-0000190D0000}"/>
    <cellStyle name="▲_北東北支店03年8月見込_第４１回品質実践研（養生）" xfId="2320" xr:uid="{00000000-0005-0000-0000-00001A0D0000}"/>
    <cellStyle name="▲_北東北支店03年8月見込_第41回品質実践研テーマ（玄収扉）" xfId="2321" xr:uid="{00000000-0005-0000-0000-00001B0D0000}"/>
    <cellStyle name="▲_北東北支店03年8月見込_品質レベル（ドア枠Ｂ）" xfId="2322" xr:uid="{00000000-0005-0000-0000-00001C0D0000}"/>
    <cellStyle name="▲_北東北支店03年8月見込_本部長診断会ドア" xfId="2323" xr:uid="{00000000-0005-0000-0000-00001D0D0000}"/>
    <cellStyle name="▲_本部長ヒヤリング" xfId="2324" xr:uid="{00000000-0005-0000-0000-00001E0D0000}"/>
    <cellStyle name="▲_本部長診断会ドア" xfId="2325" xr:uid="{00000000-0005-0000-0000-00001F0D0000}"/>
    <cellStyle name="▲_目指す姿" xfId="2326" xr:uid="{00000000-0005-0000-0000-0000200D0000}"/>
    <cellStyle name="▲_目指す姿 2" xfId="5791" xr:uid="{00000000-0005-0000-0000-0000210D0000}"/>
    <cellStyle name="▲_量管理委員会資料（06.4.4)" xfId="2327" xr:uid="{00000000-0005-0000-0000-0000220D0000}"/>
    <cellStyle name="▲_量管理委員会資料（０６年３月）" xfId="2328" xr:uid="{00000000-0005-0000-0000-0000230D0000}"/>
    <cellStyle name="▲_量管理委員会資料（０６年３月）1" xfId="2329" xr:uid="{00000000-0005-0000-0000-0000240D0000}"/>
    <cellStyle name="▲_量試準備状況報告書（04原紙）" xfId="2330" xr:uid="{00000000-0005-0000-0000-0000250D0000}"/>
    <cellStyle name="▲_莊右用" xfId="2331" xr:uid="{00000000-0005-0000-0000-0000260D0000}"/>
    <cellStyle name="▲_劳务工实习生比率07年5月" xfId="2332" xr:uid="{00000000-0005-0000-0000-0000270D0000}"/>
    <cellStyle name="・" xfId="108" xr:uid="{00000000-0005-0000-0000-0000280D0000}"/>
    <cellStyle name="・ 2" xfId="3724" xr:uid="{00000000-0005-0000-0000-0000290D0000}"/>
    <cellStyle name="・ 2 2" xfId="3725" xr:uid="{00000000-0005-0000-0000-00002A0D0000}"/>
    <cellStyle name="・? [0.00]_laroux" xfId="2333" xr:uid="{00000000-0005-0000-0000-00002B0D0000}"/>
    <cellStyle name="・?_laroux_l" xfId="2334" xr:uid="{00000000-0005-0000-0000-00002C0D0000}"/>
    <cellStyle name="・?" xfId="2335" xr:uid="{00000000-0005-0000-0000-00002D0D0000}"/>
    <cellStyle name="・? 1" xfId="2336" xr:uid="{00000000-0005-0000-0000-00002E0D0000}"/>
    <cellStyle name="・・ [0.00]_BZ(K)an" xfId="109" xr:uid="{00000000-0005-0000-0000-00002F0D0000}"/>
    <cellStyle name="・・_3.99~8.99" xfId="110" xr:uid="{00000000-0005-0000-0000-0000300D0000}"/>
    <cellStyle name="・・・・" xfId="111" xr:uid="{00000000-0005-0000-0000-0000310D0000}"/>
    <cellStyle name="・・義" xfId="112" xr:uid="{00000000-0005-0000-0000-0000320D0000}"/>
    <cellStyle name="•\????????n?C?p[???“?N" xfId="2337" xr:uid="{00000000-0005-0000-0000-0000330D0000}"/>
    <cellStyle name="•\????nCp[“N" xfId="2338" xr:uid="{00000000-0005-0000-0000-0000340D0000}"/>
    <cellStyle name="•\EEEEƒnƒCƒp[ƒŠƒ“ƒN" xfId="2339" xr:uid="{00000000-0005-0000-0000-0000350D0000}"/>
    <cellStyle name="•\ฆฯฬnCp[“N" xfId="2340" xr:uid="{00000000-0005-0000-0000-0000360D0000}"/>
    <cellStyle name="•\Ž??‚?‚?ƒnƒCƒp[ƒŠƒ“ƒN" xfId="2341" xr:uid="{00000000-0005-0000-0000-0000370D0000}"/>
    <cellStyle name="•\Ž¦Ï‚Ý‚ÌƒnƒCƒp[ƒŠƒ“ƒN" xfId="2342" xr:uid="{00000000-0005-0000-0000-0000380D0000}"/>
    <cellStyle name="•W?_–??" xfId="2343" xr:uid="{00000000-0005-0000-0000-0000390D0000}"/>
    <cellStyle name="•W€_–??" xfId="113" xr:uid="{00000000-0005-0000-0000-00003A0D0000}"/>
    <cellStyle name="•W_???•?" xfId="2344" xr:uid="{00000000-0005-0000-0000-00003B0D0000}"/>
    <cellStyle name="\¦ÏÝÌnCp[N" xfId="114" xr:uid="{00000000-0005-0000-0000-00003C0D0000}"/>
    <cellStyle name="\EEEEnCp[N" xfId="2345" xr:uid="{00000000-0005-0000-0000-00003D0D0000}"/>
    <cellStyle name="©oµ" xfId="2346" xr:uid="{00000000-0005-0000-0000-00003E0D0000}"/>
    <cellStyle name="¶üÍ" xfId="2347" xr:uid="{00000000-0005-0000-0000-00003F0D0000}"/>
    <cellStyle name="…??? [0.00]_?f[^" xfId="2348" xr:uid="{00000000-0005-0000-0000-0000400D0000}"/>
    <cellStyle name="…???_’??H”(?•)" xfId="115" xr:uid="{00000000-0005-0000-0000-0000410D0000}"/>
    <cellStyle name="…ๆุ่ [0.00]_laroux" xfId="2349" xr:uid="{00000000-0005-0000-0000-0000420D0000}"/>
    <cellStyle name="…ๆุ่_’ผฺH”(ฟ•)" xfId="2350" xr:uid="{00000000-0005-0000-0000-0000430D0000}"/>
    <cellStyle name="aOe [0.00]_ Badget Plan-actualTETE" xfId="2351" xr:uid="{00000000-0005-0000-0000-0000440D0000}"/>
    <cellStyle name="aOe_ Badget Plan-actual-act" xfId="2352" xr:uid="{00000000-0005-0000-0000-0000450D0000}"/>
    <cellStyle name="æØè_DAT01_»¯¼0306(`FbNp)" xfId="116" xr:uid="{00000000-0005-0000-0000-0000460D0000}"/>
    <cellStyle name="EEE [0.00]_3.99~8.99" xfId="2353" xr:uid="{00000000-0005-0000-0000-0000470D0000}"/>
    <cellStyle name="EEE_3.99~8.99" xfId="2354" xr:uid="{00000000-0005-0000-0000-0000480D0000}"/>
    <cellStyle name="cEEE [0.00]_laroux" xfId="2355" xr:uid="{00000000-0005-0000-0000-0000490D0000}"/>
    <cellStyle name="cEEE_f?EHh(E?E" xfId="2356" xr:uid="{00000000-0005-0000-0000-00004A0D0000}"/>
    <cellStyle name="EE [0.00]_3.99~8.99" xfId="2357" xr:uid="{00000000-0005-0000-0000-00004B0D0000}"/>
    <cellStyle name="EE_3.99~8.99" xfId="2358" xr:uid="{00000000-0005-0000-0000-00004C0D0000}"/>
    <cellStyle name="EY [0.00]_ Badget Plan-actualal" xfId="2359" xr:uid="{00000000-0005-0000-0000-00004D0D0000}"/>
    <cellStyle name="ÊÝ [0.00]_" xfId="2360" xr:uid="{00000000-0005-0000-0000-00004E0D0000}"/>
    <cellStyle name="EY_ Badget Plan-actual-a" xfId="2361" xr:uid="{00000000-0005-0000-0000-00004F0D0000}"/>
    <cellStyle name="ÊÝ_" xfId="2362" xr:uid="{00000000-0005-0000-0000-0000500D0000}"/>
    <cellStyle name="f?E [0.00]_laroux" xfId="2363" xr:uid="{00000000-0005-0000-0000-0000510D0000}"/>
    <cellStyle name="f?E_laroux" xfId="2364" xr:uid="{00000000-0005-0000-0000-0000520D0000}"/>
    <cellStyle name="nCp[“N" xfId="2365" xr:uid="{00000000-0005-0000-0000-0000530D0000}"/>
    <cellStyle name="nCp[N" xfId="117" xr:uid="{00000000-0005-0000-0000-0000540D0000}"/>
    <cellStyle name="nCp[gN" xfId="2366" xr:uid="{00000000-0005-0000-0000-0000550D0000}"/>
    <cellStyle name="p[Zg2" xfId="2367" xr:uid="{00000000-0005-0000-0000-0000560D0000}"/>
    <cellStyle name="üÍÍÍ" xfId="2368" xr:uid="{00000000-0005-0000-0000-0000570D0000}"/>
    <cellStyle name="W_@TBHiyYEEE" xfId="2369" xr:uid="{00000000-0005-0000-0000-0000580D0000}"/>
    <cellStyle name="Wms" xfId="2370" xr:uid="{00000000-0005-0000-0000-0000590D0000}"/>
    <cellStyle name="WE_EE" xfId="118" xr:uid="{00000000-0005-0000-0000-00005A0D0000}"/>
    <cellStyle name="0,0_x000d__x000a_NA_x000d__x000a_" xfId="119" xr:uid="{00000000-0005-0000-0000-00005B0D0000}"/>
    <cellStyle name="0000" xfId="2371" xr:uid="{00000000-0005-0000-0000-00005C0D0000}"/>
    <cellStyle name="1" xfId="2372" xr:uid="{00000000-0005-0000-0000-00005D0D0000}"/>
    <cellStyle name="１" xfId="120" xr:uid="{00000000-0005-0000-0000-00005E0D0000}"/>
    <cellStyle name="1 10" xfId="5294" xr:uid="{00000000-0005-0000-0000-00005F0D0000}"/>
    <cellStyle name="1 11" xfId="5295" xr:uid="{00000000-0005-0000-0000-0000600D0000}"/>
    <cellStyle name="1 12" xfId="5296" xr:uid="{00000000-0005-0000-0000-0000610D0000}"/>
    <cellStyle name="1 13" xfId="5297" xr:uid="{00000000-0005-0000-0000-0000620D0000}"/>
    <cellStyle name="1 14" xfId="5298" xr:uid="{00000000-0005-0000-0000-0000630D0000}"/>
    <cellStyle name="1 15" xfId="5299" xr:uid="{00000000-0005-0000-0000-0000640D0000}"/>
    <cellStyle name="1 16" xfId="5300" xr:uid="{00000000-0005-0000-0000-0000650D0000}"/>
    <cellStyle name="1 17" xfId="5301" xr:uid="{00000000-0005-0000-0000-0000660D0000}"/>
    <cellStyle name="1 2" xfId="2805" xr:uid="{00000000-0005-0000-0000-0000670D0000}"/>
    <cellStyle name="1 3" xfId="2887" xr:uid="{00000000-0005-0000-0000-0000680D0000}"/>
    <cellStyle name="1 4" xfId="5302" xr:uid="{00000000-0005-0000-0000-0000690D0000}"/>
    <cellStyle name="1 5" xfId="5303" xr:uid="{00000000-0005-0000-0000-00006A0D0000}"/>
    <cellStyle name="1 6" xfId="5304" xr:uid="{00000000-0005-0000-0000-00006B0D0000}"/>
    <cellStyle name="1 7" xfId="5305" xr:uid="{00000000-0005-0000-0000-00006C0D0000}"/>
    <cellStyle name="1 8" xfId="5306" xr:uid="{00000000-0005-0000-0000-00006D0D0000}"/>
    <cellStyle name="1 9" xfId="5307" xr:uid="{00000000-0005-0000-0000-00006E0D0000}"/>
    <cellStyle name="1_Book1" xfId="2373" xr:uid="{00000000-0005-0000-0000-00006F0D0000}"/>
    <cellStyle name="1_Book1_目指す姿フォーマット" xfId="2374" xr:uid="{00000000-0005-0000-0000-0000700D0000}"/>
    <cellStyle name="1_FA" xfId="2375" xr:uid="{00000000-0005-0000-0000-0000710D0000}"/>
    <cellStyle name="１_ライン改善実践治具【２０１１0524改訂版】" xfId="2376" xr:uid="{00000000-0005-0000-0000-0000720D0000}"/>
    <cellStyle name="１_標準作業組合せ票" xfId="2377" xr:uid="{00000000-0005-0000-0000-0000730D0000}"/>
    <cellStyle name="1_目指す姿フォーマット" xfId="2378" xr:uid="{00000000-0005-0000-0000-0000740D0000}"/>
    <cellStyle name="10.5リュウミンＲ" xfId="3726" xr:uid="{00000000-0005-0000-0000-0000750D0000}"/>
    <cellStyle name="10.5リュウミンＲ 2" xfId="5808" xr:uid="{00000000-0005-0000-0000-0000760D0000}"/>
    <cellStyle name="11リュウミンL" xfId="3727" xr:uid="{00000000-0005-0000-0000-0000770D0000}"/>
    <cellStyle name="11リュウミンL 2" xfId="5809" xr:uid="{00000000-0005-0000-0000-0000780D0000}"/>
    <cellStyle name="121" xfId="2379" xr:uid="{00000000-0005-0000-0000-0000790D0000}"/>
    <cellStyle name="2" xfId="2380" xr:uid="{00000000-0005-0000-0000-00007A0D0000}"/>
    <cellStyle name="２" xfId="3" xr:uid="{00000000-0005-0000-0000-00007B0D0000}"/>
    <cellStyle name="２ 2" xfId="3728" xr:uid="{00000000-0005-0000-0000-00007C0D0000}"/>
    <cellStyle name="２ 2 2" xfId="3729" xr:uid="{00000000-0005-0000-0000-00007D0D0000}"/>
    <cellStyle name="２ 2 3" xfId="3730" xr:uid="{00000000-0005-0000-0000-00007E0D0000}"/>
    <cellStyle name="２ 2 3 2" xfId="3731" xr:uid="{00000000-0005-0000-0000-00007F0D0000}"/>
    <cellStyle name="2??_x000e_No_Channel Table_1_Module1?_x0016_Normal_Channel Table_2?&quot;Normal_Channel Table_Chann?_x000d_ Table?_x001b_Normal_Channel Table_M" xfId="2381" xr:uid="{00000000-0005-0000-0000-0000800D0000}"/>
    <cellStyle name="2?e_x000e_No_Channel Table_1_Module1?_x0016_Normal_Channel Table_2?&quot;Normal_Channel Table_Chann?_x000d_ Table?_x001b_Normal_Channel Table_M" xfId="2382" xr:uid="{00000000-0005-0000-0000-0000810D0000}"/>
    <cellStyle name="2?é_x000e_No_Channel Table_1_Module1?_x0016_Normal_Channel Table_2?&quot;Normal_Channel Table_Channⵥ_x000d_ Table?_x001b_Normal_Channel Table_M" xfId="2383" xr:uid="{00000000-0005-0000-0000-0000820D0000}"/>
    <cellStyle name="２_ライン改善実践治具【２０１１0524改訂版】" xfId="2384" xr:uid="{00000000-0005-0000-0000-0000830D0000}"/>
    <cellStyle name="２_稼働率_TOPS治具 " xfId="2385" xr:uid="{00000000-0005-0000-0000-0000840D0000}"/>
    <cellStyle name="２_工務店基本情報" xfId="3732" xr:uid="{00000000-0005-0000-0000-0000850D0000}"/>
    <cellStyle name="２_工務店担当者情報" xfId="3733" xr:uid="{00000000-0005-0000-0000-0000860D0000}"/>
    <cellStyle name="２_工務店品種情報" xfId="3734" xr:uid="{00000000-0005-0000-0000-0000870D0000}"/>
    <cellStyle name="２_参考" xfId="4" xr:uid="{00000000-0005-0000-0000-0000880D0000}"/>
    <cellStyle name="２_参考 2" xfId="3735" xr:uid="{00000000-0005-0000-0000-0000890D0000}"/>
    <cellStyle name="２_参考 2 2" xfId="3736" xr:uid="{00000000-0005-0000-0000-00008A0D0000}"/>
    <cellStyle name="２_参考 2 3" xfId="3737" xr:uid="{00000000-0005-0000-0000-00008B0D0000}"/>
    <cellStyle name="２_参考 2 3 2" xfId="3738" xr:uid="{00000000-0005-0000-0000-00008C0D0000}"/>
    <cellStyle name="２_参考_ライン改善実践治具【２０１１0524改訂版】" xfId="2386" xr:uid="{00000000-0005-0000-0000-00008D0D0000}"/>
    <cellStyle name="２_参考_ﾚﾝﾄｹﾞﾝ_" xfId="5" xr:uid="{00000000-0005-0000-0000-00008E0D0000}"/>
    <cellStyle name="２_参考_ﾚﾝﾄｹﾞﾝ_ 2" xfId="3739" xr:uid="{00000000-0005-0000-0000-00008F0D0000}"/>
    <cellStyle name="２_参考_ﾚﾝﾄｹﾞﾝ_ 2 2" xfId="3740" xr:uid="{00000000-0005-0000-0000-0000900D0000}"/>
    <cellStyle name="２_参考_ﾚﾝﾄｹﾞﾝ_ 2 3" xfId="3741" xr:uid="{00000000-0005-0000-0000-0000910D0000}"/>
    <cellStyle name="２_参考_ﾚﾝﾄｹﾞﾝ_ 2 3 2" xfId="3742" xr:uid="{00000000-0005-0000-0000-0000920D0000}"/>
    <cellStyle name="２_参考_ﾚﾝﾄｹﾞﾝ__ライン改善実践治具【２０１１0524改訂版】" xfId="2387" xr:uid="{00000000-0005-0000-0000-0000930D0000}"/>
    <cellStyle name="２_参考_ﾚﾝﾄｹﾞﾝ__標準作業組合せ票" xfId="2388" xr:uid="{00000000-0005-0000-0000-0000940D0000}"/>
    <cellStyle name="２_参考_標準作業組合せ票" xfId="2389" xr:uid="{00000000-0005-0000-0000-0000950D0000}"/>
    <cellStyle name="２_登録用セールスマスター" xfId="3743" xr:uid="{00000000-0005-0000-0000-0000960D0000}"/>
    <cellStyle name="２_標準作業組合せ票" xfId="2390" xr:uid="{00000000-0005-0000-0000-0000970D0000}"/>
    <cellStyle name="20% - Accent1" xfId="2391" xr:uid="{00000000-0005-0000-0000-0000980D0000}"/>
    <cellStyle name="20% - Accent2" xfId="2392" xr:uid="{00000000-0005-0000-0000-0000990D0000}"/>
    <cellStyle name="20% - Accent3" xfId="2393" xr:uid="{00000000-0005-0000-0000-00009A0D0000}"/>
    <cellStyle name="20% - Accent4" xfId="2394" xr:uid="{00000000-0005-0000-0000-00009B0D0000}"/>
    <cellStyle name="20% - Accent5" xfId="2395" xr:uid="{00000000-0005-0000-0000-00009C0D0000}"/>
    <cellStyle name="20% - Accent6" xfId="2396" xr:uid="{00000000-0005-0000-0000-00009D0D0000}"/>
    <cellStyle name="20% - アクセント 1 2" xfId="2397" xr:uid="{00000000-0005-0000-0000-00009E0D0000}"/>
    <cellStyle name="20% - アクセント 1 2 2" xfId="2806" xr:uid="{00000000-0005-0000-0000-00009F0D0000}"/>
    <cellStyle name="20% - アクセント 2 2" xfId="2398" xr:uid="{00000000-0005-0000-0000-0000A00D0000}"/>
    <cellStyle name="20% - アクセント 2 2 2" xfId="2807" xr:uid="{00000000-0005-0000-0000-0000A10D0000}"/>
    <cellStyle name="20% - アクセント 3 2" xfId="2399" xr:uid="{00000000-0005-0000-0000-0000A20D0000}"/>
    <cellStyle name="20% - アクセント 3 2 2" xfId="2808" xr:uid="{00000000-0005-0000-0000-0000A30D0000}"/>
    <cellStyle name="20% - アクセント 4 2" xfId="2400" xr:uid="{00000000-0005-0000-0000-0000A40D0000}"/>
    <cellStyle name="20% - アクセント 4 2 2" xfId="2809" xr:uid="{00000000-0005-0000-0000-0000A50D0000}"/>
    <cellStyle name="20% - アクセント 5 2" xfId="2401" xr:uid="{00000000-0005-0000-0000-0000A60D0000}"/>
    <cellStyle name="20% - アクセント 5 2 2" xfId="2810" xr:uid="{00000000-0005-0000-0000-0000A70D0000}"/>
    <cellStyle name="20% - アクセント 6 2" xfId="2402" xr:uid="{00000000-0005-0000-0000-0000A80D0000}"/>
    <cellStyle name="20% - アクセント 6 2 2" xfId="2811" xr:uid="{00000000-0005-0000-0000-0000A90D0000}"/>
    <cellStyle name="20% - 强调文字颜色 1" xfId="2403" xr:uid="{00000000-0005-0000-0000-0000AA0D0000}"/>
    <cellStyle name="20% - 强调文字颜色 1 2" xfId="3744" xr:uid="{00000000-0005-0000-0000-0000AB0D0000}"/>
    <cellStyle name="20% - 强调文字颜色 1 2 2" xfId="3745" xr:uid="{00000000-0005-0000-0000-0000AC0D0000}"/>
    <cellStyle name="20% - 强调文字颜色 1 2 2 2" xfId="3746" xr:uid="{00000000-0005-0000-0000-0000AD0D0000}"/>
    <cellStyle name="20% - 强调文字颜色 1 2 2 2 2" xfId="3747" xr:uid="{00000000-0005-0000-0000-0000AE0D0000}"/>
    <cellStyle name="20% - 强调文字颜色 1 2 2 2 3" xfId="3748" xr:uid="{00000000-0005-0000-0000-0000AF0D0000}"/>
    <cellStyle name="20% - 强调文字颜色 1 2 2 3" xfId="3749" xr:uid="{00000000-0005-0000-0000-0000B00D0000}"/>
    <cellStyle name="20% - 强调文字颜色 1 2 3" xfId="3750" xr:uid="{00000000-0005-0000-0000-0000B10D0000}"/>
    <cellStyle name="20% - 强调文字颜色 1 2 3 2" xfId="3751" xr:uid="{00000000-0005-0000-0000-0000B20D0000}"/>
    <cellStyle name="20% - 强调文字颜色 1 2 3 3" xfId="3752" xr:uid="{00000000-0005-0000-0000-0000B30D0000}"/>
    <cellStyle name="20% - 强调文字颜色 1 2 4" xfId="3753" xr:uid="{00000000-0005-0000-0000-0000B40D0000}"/>
    <cellStyle name="20% - 强调文字颜色 1 3" xfId="3754" xr:uid="{00000000-0005-0000-0000-0000B50D0000}"/>
    <cellStyle name="20% - 强调文字颜色 1 3 2" xfId="3755" xr:uid="{00000000-0005-0000-0000-0000B60D0000}"/>
    <cellStyle name="20% - 强调文字颜色 1 3 3" xfId="3756" xr:uid="{00000000-0005-0000-0000-0000B70D0000}"/>
    <cellStyle name="20% - 强调文字颜色 1 4" xfId="3757" xr:uid="{00000000-0005-0000-0000-0000B80D0000}"/>
    <cellStyle name="20% - 强调文字颜色 2" xfId="2404" xr:uid="{00000000-0005-0000-0000-0000B90D0000}"/>
    <cellStyle name="20% - 强调文字颜色 2 2" xfId="3758" xr:uid="{00000000-0005-0000-0000-0000BA0D0000}"/>
    <cellStyle name="20% - 强调文字颜色 2 2 2" xfId="3759" xr:uid="{00000000-0005-0000-0000-0000BB0D0000}"/>
    <cellStyle name="20% - 强调文字颜色 2 2 2 2" xfId="3760" xr:uid="{00000000-0005-0000-0000-0000BC0D0000}"/>
    <cellStyle name="20% - 强调文字颜色 2 2 2 2 2" xfId="3761" xr:uid="{00000000-0005-0000-0000-0000BD0D0000}"/>
    <cellStyle name="20% - 强调文字颜色 2 2 2 2 3" xfId="3762" xr:uid="{00000000-0005-0000-0000-0000BE0D0000}"/>
    <cellStyle name="20% - 强调文字颜色 2 2 2 3" xfId="3763" xr:uid="{00000000-0005-0000-0000-0000BF0D0000}"/>
    <cellStyle name="20% - 强调文字颜色 2 2 3" xfId="3764" xr:uid="{00000000-0005-0000-0000-0000C00D0000}"/>
    <cellStyle name="20% - 强调文字颜色 2 2 3 2" xfId="3765" xr:uid="{00000000-0005-0000-0000-0000C10D0000}"/>
    <cellStyle name="20% - 强调文字颜色 2 2 3 3" xfId="3766" xr:uid="{00000000-0005-0000-0000-0000C20D0000}"/>
    <cellStyle name="20% - 强调文字颜色 2 2 4" xfId="3767" xr:uid="{00000000-0005-0000-0000-0000C30D0000}"/>
    <cellStyle name="20% - 强调文字颜色 2 3" xfId="3768" xr:uid="{00000000-0005-0000-0000-0000C40D0000}"/>
    <cellStyle name="20% - 强调文字颜色 2 3 2" xfId="3769" xr:uid="{00000000-0005-0000-0000-0000C50D0000}"/>
    <cellStyle name="20% - 强调文字颜色 2 3 3" xfId="3770" xr:uid="{00000000-0005-0000-0000-0000C60D0000}"/>
    <cellStyle name="20% - 强调文字颜色 2 4" xfId="3771" xr:uid="{00000000-0005-0000-0000-0000C70D0000}"/>
    <cellStyle name="20% - 强调文字颜色 3" xfId="2405" xr:uid="{00000000-0005-0000-0000-0000C80D0000}"/>
    <cellStyle name="20% - 强调文字颜色 3 2" xfId="3772" xr:uid="{00000000-0005-0000-0000-0000C90D0000}"/>
    <cellStyle name="20% - 强调文字颜色 3 2 2" xfId="3773" xr:uid="{00000000-0005-0000-0000-0000CA0D0000}"/>
    <cellStyle name="20% - 强调文字颜色 3 2 2 2" xfId="3774" xr:uid="{00000000-0005-0000-0000-0000CB0D0000}"/>
    <cellStyle name="20% - 强调文字颜色 3 2 2 2 2" xfId="3775" xr:uid="{00000000-0005-0000-0000-0000CC0D0000}"/>
    <cellStyle name="20% - 强调文字颜色 3 2 2 2 3" xfId="3776" xr:uid="{00000000-0005-0000-0000-0000CD0D0000}"/>
    <cellStyle name="20% - 强调文字颜色 3 2 2 3" xfId="3777" xr:uid="{00000000-0005-0000-0000-0000CE0D0000}"/>
    <cellStyle name="20% - 强调文字颜色 3 2 3" xfId="3778" xr:uid="{00000000-0005-0000-0000-0000CF0D0000}"/>
    <cellStyle name="20% - 强调文字颜色 3 2 3 2" xfId="3779" xr:uid="{00000000-0005-0000-0000-0000D00D0000}"/>
    <cellStyle name="20% - 强调文字颜色 3 2 3 3" xfId="3780" xr:uid="{00000000-0005-0000-0000-0000D10D0000}"/>
    <cellStyle name="20% - 强调文字颜色 3 2 4" xfId="3781" xr:uid="{00000000-0005-0000-0000-0000D20D0000}"/>
    <cellStyle name="20% - 强调文字颜色 3 3" xfId="3782" xr:uid="{00000000-0005-0000-0000-0000D30D0000}"/>
    <cellStyle name="20% - 强调文字颜色 3 3 2" xfId="3783" xr:uid="{00000000-0005-0000-0000-0000D40D0000}"/>
    <cellStyle name="20% - 强调文字颜色 3 3 3" xfId="3784" xr:uid="{00000000-0005-0000-0000-0000D50D0000}"/>
    <cellStyle name="20% - 强调文字颜色 3 4" xfId="3785" xr:uid="{00000000-0005-0000-0000-0000D60D0000}"/>
    <cellStyle name="20% - 强调文字颜色 4" xfId="2406" xr:uid="{00000000-0005-0000-0000-0000D70D0000}"/>
    <cellStyle name="20% - 强调文字颜色 4 2" xfId="3786" xr:uid="{00000000-0005-0000-0000-0000D80D0000}"/>
    <cellStyle name="20% - 强调文字颜色 4 2 2" xfId="3787" xr:uid="{00000000-0005-0000-0000-0000D90D0000}"/>
    <cellStyle name="20% - 强调文字颜色 4 2 2 2" xfId="3788" xr:uid="{00000000-0005-0000-0000-0000DA0D0000}"/>
    <cellStyle name="20% - 强调文字颜色 4 2 2 2 2" xfId="3789" xr:uid="{00000000-0005-0000-0000-0000DB0D0000}"/>
    <cellStyle name="20% - 强调文字颜色 4 2 2 2 3" xfId="3790" xr:uid="{00000000-0005-0000-0000-0000DC0D0000}"/>
    <cellStyle name="20% - 强调文字颜色 4 2 2 3" xfId="3791" xr:uid="{00000000-0005-0000-0000-0000DD0D0000}"/>
    <cellStyle name="20% - 强调文字颜色 4 2 3" xfId="3792" xr:uid="{00000000-0005-0000-0000-0000DE0D0000}"/>
    <cellStyle name="20% - 强调文字颜色 4 2 3 2" xfId="3793" xr:uid="{00000000-0005-0000-0000-0000DF0D0000}"/>
    <cellStyle name="20% - 强调文字颜色 4 2 3 3" xfId="3794" xr:uid="{00000000-0005-0000-0000-0000E00D0000}"/>
    <cellStyle name="20% - 强调文字颜色 4 2 4" xfId="3795" xr:uid="{00000000-0005-0000-0000-0000E10D0000}"/>
    <cellStyle name="20% - 强调文字颜色 4 3" xfId="3796" xr:uid="{00000000-0005-0000-0000-0000E20D0000}"/>
    <cellStyle name="20% - 强调文字颜色 4 3 2" xfId="3797" xr:uid="{00000000-0005-0000-0000-0000E30D0000}"/>
    <cellStyle name="20% - 强调文字颜色 4 3 3" xfId="3798" xr:uid="{00000000-0005-0000-0000-0000E40D0000}"/>
    <cellStyle name="20% - 强调文字颜色 4 4" xfId="3799" xr:uid="{00000000-0005-0000-0000-0000E50D0000}"/>
    <cellStyle name="20% - 强调文字颜色 5" xfId="2407" xr:uid="{00000000-0005-0000-0000-0000E60D0000}"/>
    <cellStyle name="20% - 强调文字颜色 5 2" xfId="3800" xr:uid="{00000000-0005-0000-0000-0000E70D0000}"/>
    <cellStyle name="20% - 强调文字颜色 5 2 2" xfId="3801" xr:uid="{00000000-0005-0000-0000-0000E80D0000}"/>
    <cellStyle name="20% - 强调文字颜色 5 2 2 2" xfId="3802" xr:uid="{00000000-0005-0000-0000-0000E90D0000}"/>
    <cellStyle name="20% - 强调文字颜色 5 2 2 2 2" xfId="3803" xr:uid="{00000000-0005-0000-0000-0000EA0D0000}"/>
    <cellStyle name="20% - 强调文字颜色 5 2 2 2 3" xfId="3804" xr:uid="{00000000-0005-0000-0000-0000EB0D0000}"/>
    <cellStyle name="20% - 强调文字颜色 5 2 2 3" xfId="3805" xr:uid="{00000000-0005-0000-0000-0000EC0D0000}"/>
    <cellStyle name="20% - 强调文字颜色 5 2 3" xfId="3806" xr:uid="{00000000-0005-0000-0000-0000ED0D0000}"/>
    <cellStyle name="20% - 强调文字颜色 5 2 3 2" xfId="3807" xr:uid="{00000000-0005-0000-0000-0000EE0D0000}"/>
    <cellStyle name="20% - 强调文字颜色 5 2 3 3" xfId="3808" xr:uid="{00000000-0005-0000-0000-0000EF0D0000}"/>
    <cellStyle name="20% - 强调文字颜色 5 2 4" xfId="3809" xr:uid="{00000000-0005-0000-0000-0000F00D0000}"/>
    <cellStyle name="20% - 强调文字颜色 5 3" xfId="3810" xr:uid="{00000000-0005-0000-0000-0000F10D0000}"/>
    <cellStyle name="20% - 强调文字颜色 5 3 2" xfId="3811" xr:uid="{00000000-0005-0000-0000-0000F20D0000}"/>
    <cellStyle name="20% - 强调文字颜色 5 3 3" xfId="3812" xr:uid="{00000000-0005-0000-0000-0000F30D0000}"/>
    <cellStyle name="20% - 强调文字颜色 5 4" xfId="3813" xr:uid="{00000000-0005-0000-0000-0000F40D0000}"/>
    <cellStyle name="20% - 强调文字颜色 6" xfId="2408" xr:uid="{00000000-0005-0000-0000-0000F50D0000}"/>
    <cellStyle name="20% - 强调文字颜色 6 2" xfId="3814" xr:uid="{00000000-0005-0000-0000-0000F60D0000}"/>
    <cellStyle name="20% - 强调文字颜色 6 2 2" xfId="3815" xr:uid="{00000000-0005-0000-0000-0000F70D0000}"/>
    <cellStyle name="20% - 强调文字颜色 6 2 2 2" xfId="3816" xr:uid="{00000000-0005-0000-0000-0000F80D0000}"/>
    <cellStyle name="20% - 强调文字颜色 6 2 2 2 2" xfId="3817" xr:uid="{00000000-0005-0000-0000-0000F90D0000}"/>
    <cellStyle name="20% - 强调文字颜色 6 2 2 2 3" xfId="3818" xr:uid="{00000000-0005-0000-0000-0000FA0D0000}"/>
    <cellStyle name="20% - 强调文字颜色 6 2 2 3" xfId="3819" xr:uid="{00000000-0005-0000-0000-0000FB0D0000}"/>
    <cellStyle name="20% - 强调文字颜色 6 2 3" xfId="3820" xr:uid="{00000000-0005-0000-0000-0000FC0D0000}"/>
    <cellStyle name="20% - 强调文字颜色 6 2 3 2" xfId="3821" xr:uid="{00000000-0005-0000-0000-0000FD0D0000}"/>
    <cellStyle name="20% - 强调文字颜色 6 2 3 3" xfId="3822" xr:uid="{00000000-0005-0000-0000-0000FE0D0000}"/>
    <cellStyle name="20% - 强调文字颜色 6 2 4" xfId="3823" xr:uid="{00000000-0005-0000-0000-0000FF0D0000}"/>
    <cellStyle name="20% - 强调文字颜色 6 3" xfId="3824" xr:uid="{00000000-0005-0000-0000-0000000E0000}"/>
    <cellStyle name="20% - 强调文字颜色 6 3 2" xfId="3825" xr:uid="{00000000-0005-0000-0000-0000010E0000}"/>
    <cellStyle name="20% - 强调文字颜色 6 3 3" xfId="3826" xr:uid="{00000000-0005-0000-0000-0000020E0000}"/>
    <cellStyle name="20% - 强调文字颜色 6 4" xfId="3827" xr:uid="{00000000-0005-0000-0000-0000030E0000}"/>
    <cellStyle name="40% - Accent1" xfId="2409" xr:uid="{00000000-0005-0000-0000-0000040E0000}"/>
    <cellStyle name="40% - Accent2" xfId="2410" xr:uid="{00000000-0005-0000-0000-0000050E0000}"/>
    <cellStyle name="40% - Accent3" xfId="2411" xr:uid="{00000000-0005-0000-0000-0000060E0000}"/>
    <cellStyle name="40% - Accent4" xfId="2412" xr:uid="{00000000-0005-0000-0000-0000070E0000}"/>
    <cellStyle name="40% - Accent5" xfId="2413" xr:uid="{00000000-0005-0000-0000-0000080E0000}"/>
    <cellStyle name="40% - Accent6" xfId="2414" xr:uid="{00000000-0005-0000-0000-0000090E0000}"/>
    <cellStyle name="40% - アクセント 1 2" xfId="2415" xr:uid="{00000000-0005-0000-0000-00000A0E0000}"/>
    <cellStyle name="40% - アクセント 1 2 2" xfId="2812" xr:uid="{00000000-0005-0000-0000-00000B0E0000}"/>
    <cellStyle name="40% - アクセント 2 2" xfId="2416" xr:uid="{00000000-0005-0000-0000-00000C0E0000}"/>
    <cellStyle name="40% - アクセント 2 2 2" xfId="2813" xr:uid="{00000000-0005-0000-0000-00000D0E0000}"/>
    <cellStyle name="40% - アクセント 3 2" xfId="2417" xr:uid="{00000000-0005-0000-0000-00000E0E0000}"/>
    <cellStyle name="40% - アクセント 3 2 2" xfId="2814" xr:uid="{00000000-0005-0000-0000-00000F0E0000}"/>
    <cellStyle name="40% - アクセント 4 2" xfId="2418" xr:uid="{00000000-0005-0000-0000-0000100E0000}"/>
    <cellStyle name="40% - アクセント 4 2 2" xfId="2815" xr:uid="{00000000-0005-0000-0000-0000110E0000}"/>
    <cellStyle name="40% - アクセント 5 2" xfId="2419" xr:uid="{00000000-0005-0000-0000-0000120E0000}"/>
    <cellStyle name="40% - アクセント 5 2 2" xfId="2816" xr:uid="{00000000-0005-0000-0000-0000130E0000}"/>
    <cellStyle name="40% - アクセント 6 2" xfId="2420" xr:uid="{00000000-0005-0000-0000-0000140E0000}"/>
    <cellStyle name="40% - アクセント 6 2 2" xfId="2817" xr:uid="{00000000-0005-0000-0000-0000150E0000}"/>
    <cellStyle name="40% - 强调文字颜色 1" xfId="2421" xr:uid="{00000000-0005-0000-0000-0000160E0000}"/>
    <cellStyle name="40% - 强调文字颜色 1 2" xfId="3828" xr:uid="{00000000-0005-0000-0000-0000170E0000}"/>
    <cellStyle name="40% - 强调文字颜色 1 2 2" xfId="3829" xr:uid="{00000000-0005-0000-0000-0000180E0000}"/>
    <cellStyle name="40% - 强调文字颜色 1 2 2 2" xfId="3830" xr:uid="{00000000-0005-0000-0000-0000190E0000}"/>
    <cellStyle name="40% - 强调文字颜色 1 2 2 2 2" xfId="3831" xr:uid="{00000000-0005-0000-0000-00001A0E0000}"/>
    <cellStyle name="40% - 强调文字颜色 1 2 2 2 3" xfId="3832" xr:uid="{00000000-0005-0000-0000-00001B0E0000}"/>
    <cellStyle name="40% - 强调文字颜色 1 2 2 3" xfId="3833" xr:uid="{00000000-0005-0000-0000-00001C0E0000}"/>
    <cellStyle name="40% - 强调文字颜色 1 2 3" xfId="3834" xr:uid="{00000000-0005-0000-0000-00001D0E0000}"/>
    <cellStyle name="40% - 强调文字颜色 1 2 3 2" xfId="3835" xr:uid="{00000000-0005-0000-0000-00001E0E0000}"/>
    <cellStyle name="40% - 强调文字颜色 1 2 3 3" xfId="3836" xr:uid="{00000000-0005-0000-0000-00001F0E0000}"/>
    <cellStyle name="40% - 强调文字颜色 1 2 4" xfId="3837" xr:uid="{00000000-0005-0000-0000-0000200E0000}"/>
    <cellStyle name="40% - 强调文字颜色 1 3" xfId="3838" xr:uid="{00000000-0005-0000-0000-0000210E0000}"/>
    <cellStyle name="40% - 强调文字颜色 1 3 2" xfId="3839" xr:uid="{00000000-0005-0000-0000-0000220E0000}"/>
    <cellStyle name="40% - 强调文字颜色 1 3 3" xfId="3840" xr:uid="{00000000-0005-0000-0000-0000230E0000}"/>
    <cellStyle name="40% - 强调文字颜色 1 4" xfId="3841" xr:uid="{00000000-0005-0000-0000-0000240E0000}"/>
    <cellStyle name="40% - 强调文字颜色 2" xfId="2422" xr:uid="{00000000-0005-0000-0000-0000250E0000}"/>
    <cellStyle name="40% - 强调文字颜色 2 2" xfId="3842" xr:uid="{00000000-0005-0000-0000-0000260E0000}"/>
    <cellStyle name="40% - 强调文字颜色 2 2 2" xfId="3843" xr:uid="{00000000-0005-0000-0000-0000270E0000}"/>
    <cellStyle name="40% - 强调文字颜色 2 2 2 2" xfId="3844" xr:uid="{00000000-0005-0000-0000-0000280E0000}"/>
    <cellStyle name="40% - 强调文字颜色 2 2 2 2 2" xfId="3845" xr:uid="{00000000-0005-0000-0000-0000290E0000}"/>
    <cellStyle name="40% - 强调文字颜色 2 2 2 2 3" xfId="3846" xr:uid="{00000000-0005-0000-0000-00002A0E0000}"/>
    <cellStyle name="40% - 强调文字颜色 2 2 2 3" xfId="3847" xr:uid="{00000000-0005-0000-0000-00002B0E0000}"/>
    <cellStyle name="40% - 强调文字颜色 2 2 3" xfId="3848" xr:uid="{00000000-0005-0000-0000-00002C0E0000}"/>
    <cellStyle name="40% - 强调文字颜色 2 2 3 2" xfId="3849" xr:uid="{00000000-0005-0000-0000-00002D0E0000}"/>
    <cellStyle name="40% - 强调文字颜色 2 2 3 3" xfId="3850" xr:uid="{00000000-0005-0000-0000-00002E0E0000}"/>
    <cellStyle name="40% - 强调文字颜色 2 2 4" xfId="3851" xr:uid="{00000000-0005-0000-0000-00002F0E0000}"/>
    <cellStyle name="40% - 强调文字颜色 2 3" xfId="3852" xr:uid="{00000000-0005-0000-0000-0000300E0000}"/>
    <cellStyle name="40% - 强调文字颜色 2 3 2" xfId="3853" xr:uid="{00000000-0005-0000-0000-0000310E0000}"/>
    <cellStyle name="40% - 强调文字颜色 2 3 3" xfId="3854" xr:uid="{00000000-0005-0000-0000-0000320E0000}"/>
    <cellStyle name="40% - 强调文字颜色 2 4" xfId="3855" xr:uid="{00000000-0005-0000-0000-0000330E0000}"/>
    <cellStyle name="40% - 强调文字颜色 3" xfId="2423" xr:uid="{00000000-0005-0000-0000-0000340E0000}"/>
    <cellStyle name="40% - 强调文字颜色 3 2" xfId="3856" xr:uid="{00000000-0005-0000-0000-0000350E0000}"/>
    <cellStyle name="40% - 强调文字颜色 3 2 2" xfId="3857" xr:uid="{00000000-0005-0000-0000-0000360E0000}"/>
    <cellStyle name="40% - 强调文字颜色 3 2 2 2" xfId="3858" xr:uid="{00000000-0005-0000-0000-0000370E0000}"/>
    <cellStyle name="40% - 强调文字颜色 3 2 2 2 2" xfId="3859" xr:uid="{00000000-0005-0000-0000-0000380E0000}"/>
    <cellStyle name="40% - 强调文字颜色 3 2 2 2 3" xfId="3860" xr:uid="{00000000-0005-0000-0000-0000390E0000}"/>
    <cellStyle name="40% - 强调文字颜色 3 2 2 3" xfId="3861" xr:uid="{00000000-0005-0000-0000-00003A0E0000}"/>
    <cellStyle name="40% - 强调文字颜色 3 2 3" xfId="3862" xr:uid="{00000000-0005-0000-0000-00003B0E0000}"/>
    <cellStyle name="40% - 强调文字颜色 3 2 3 2" xfId="3863" xr:uid="{00000000-0005-0000-0000-00003C0E0000}"/>
    <cellStyle name="40% - 强调文字颜色 3 2 3 3" xfId="3864" xr:uid="{00000000-0005-0000-0000-00003D0E0000}"/>
    <cellStyle name="40% - 强调文字颜色 3 2 4" xfId="3865" xr:uid="{00000000-0005-0000-0000-00003E0E0000}"/>
    <cellStyle name="40% - 强调文字颜色 3 3" xfId="3866" xr:uid="{00000000-0005-0000-0000-00003F0E0000}"/>
    <cellStyle name="40% - 强调文字颜色 3 3 2" xfId="3867" xr:uid="{00000000-0005-0000-0000-0000400E0000}"/>
    <cellStyle name="40% - 强调文字颜色 3 3 3" xfId="3868" xr:uid="{00000000-0005-0000-0000-0000410E0000}"/>
    <cellStyle name="40% - 强调文字颜色 3 4" xfId="3869" xr:uid="{00000000-0005-0000-0000-0000420E0000}"/>
    <cellStyle name="40% - 强调文字颜色 4" xfId="2424" xr:uid="{00000000-0005-0000-0000-0000430E0000}"/>
    <cellStyle name="40% - 强调文字颜色 4 2" xfId="3870" xr:uid="{00000000-0005-0000-0000-0000440E0000}"/>
    <cellStyle name="40% - 强调文字颜色 4 2 2" xfId="3871" xr:uid="{00000000-0005-0000-0000-0000450E0000}"/>
    <cellStyle name="40% - 强调文字颜色 4 2 2 2" xfId="3872" xr:uid="{00000000-0005-0000-0000-0000460E0000}"/>
    <cellStyle name="40% - 强调文字颜色 4 2 2 2 2" xfId="3873" xr:uid="{00000000-0005-0000-0000-0000470E0000}"/>
    <cellStyle name="40% - 强调文字颜色 4 2 2 2 3" xfId="3874" xr:uid="{00000000-0005-0000-0000-0000480E0000}"/>
    <cellStyle name="40% - 强调文字颜色 4 2 2 3" xfId="3875" xr:uid="{00000000-0005-0000-0000-0000490E0000}"/>
    <cellStyle name="40% - 强调文字颜色 4 2 3" xfId="3876" xr:uid="{00000000-0005-0000-0000-00004A0E0000}"/>
    <cellStyle name="40% - 强调文字颜色 4 2 3 2" xfId="3877" xr:uid="{00000000-0005-0000-0000-00004B0E0000}"/>
    <cellStyle name="40% - 强调文字颜色 4 2 3 3" xfId="3878" xr:uid="{00000000-0005-0000-0000-00004C0E0000}"/>
    <cellStyle name="40% - 强调文字颜色 4 2 4" xfId="3879" xr:uid="{00000000-0005-0000-0000-00004D0E0000}"/>
    <cellStyle name="40% - 强调文字颜色 4 3" xfId="3880" xr:uid="{00000000-0005-0000-0000-00004E0E0000}"/>
    <cellStyle name="40% - 强调文字颜色 4 3 2" xfId="3881" xr:uid="{00000000-0005-0000-0000-00004F0E0000}"/>
    <cellStyle name="40% - 强调文字颜色 4 3 3" xfId="3882" xr:uid="{00000000-0005-0000-0000-0000500E0000}"/>
    <cellStyle name="40% - 强调文字颜色 4 4" xfId="3883" xr:uid="{00000000-0005-0000-0000-0000510E0000}"/>
    <cellStyle name="40% - 强调文字颜色 5" xfId="2425" xr:uid="{00000000-0005-0000-0000-0000520E0000}"/>
    <cellStyle name="40% - 强调文字颜色 5 2" xfId="3884" xr:uid="{00000000-0005-0000-0000-0000530E0000}"/>
    <cellStyle name="40% - 强调文字颜色 5 2 2" xfId="3885" xr:uid="{00000000-0005-0000-0000-0000540E0000}"/>
    <cellStyle name="40% - 强调文字颜色 5 2 2 2" xfId="3886" xr:uid="{00000000-0005-0000-0000-0000550E0000}"/>
    <cellStyle name="40% - 强调文字颜色 5 2 2 2 2" xfId="3887" xr:uid="{00000000-0005-0000-0000-0000560E0000}"/>
    <cellStyle name="40% - 强调文字颜色 5 2 2 2 3" xfId="3888" xr:uid="{00000000-0005-0000-0000-0000570E0000}"/>
    <cellStyle name="40% - 强调文字颜色 5 2 2 3" xfId="3889" xr:uid="{00000000-0005-0000-0000-0000580E0000}"/>
    <cellStyle name="40% - 强调文字颜色 5 2 3" xfId="3890" xr:uid="{00000000-0005-0000-0000-0000590E0000}"/>
    <cellStyle name="40% - 强调文字颜色 5 2 3 2" xfId="3891" xr:uid="{00000000-0005-0000-0000-00005A0E0000}"/>
    <cellStyle name="40% - 强调文字颜色 5 2 3 3" xfId="3892" xr:uid="{00000000-0005-0000-0000-00005B0E0000}"/>
    <cellStyle name="40% - 强调文字颜色 5 2 4" xfId="3893" xr:uid="{00000000-0005-0000-0000-00005C0E0000}"/>
    <cellStyle name="40% - 强调文字颜色 5 3" xfId="3894" xr:uid="{00000000-0005-0000-0000-00005D0E0000}"/>
    <cellStyle name="40% - 强调文字颜色 5 3 2" xfId="3895" xr:uid="{00000000-0005-0000-0000-00005E0E0000}"/>
    <cellStyle name="40% - 强调文字颜色 5 3 3" xfId="3896" xr:uid="{00000000-0005-0000-0000-00005F0E0000}"/>
    <cellStyle name="40% - 强调文字颜色 5 4" xfId="3897" xr:uid="{00000000-0005-0000-0000-0000600E0000}"/>
    <cellStyle name="40% - 强调文字颜色 6" xfId="2426" xr:uid="{00000000-0005-0000-0000-0000610E0000}"/>
    <cellStyle name="40% - 强调文字颜色 6 2" xfId="3898" xr:uid="{00000000-0005-0000-0000-0000620E0000}"/>
    <cellStyle name="40% - 强调文字颜色 6 2 2" xfId="3899" xr:uid="{00000000-0005-0000-0000-0000630E0000}"/>
    <cellStyle name="40% - 强调文字颜色 6 2 2 2" xfId="3900" xr:uid="{00000000-0005-0000-0000-0000640E0000}"/>
    <cellStyle name="40% - 强调文字颜色 6 2 2 2 2" xfId="3901" xr:uid="{00000000-0005-0000-0000-0000650E0000}"/>
    <cellStyle name="40% - 强调文字颜色 6 2 2 2 3" xfId="3902" xr:uid="{00000000-0005-0000-0000-0000660E0000}"/>
    <cellStyle name="40% - 强调文字颜色 6 2 2 3" xfId="3903" xr:uid="{00000000-0005-0000-0000-0000670E0000}"/>
    <cellStyle name="40% - 强调文字颜色 6 2 3" xfId="3904" xr:uid="{00000000-0005-0000-0000-0000680E0000}"/>
    <cellStyle name="40% - 强调文字颜色 6 2 3 2" xfId="3905" xr:uid="{00000000-0005-0000-0000-0000690E0000}"/>
    <cellStyle name="40% - 强调文字颜色 6 2 3 3" xfId="3906" xr:uid="{00000000-0005-0000-0000-00006A0E0000}"/>
    <cellStyle name="40% - 强调文字颜色 6 2 4" xfId="3907" xr:uid="{00000000-0005-0000-0000-00006B0E0000}"/>
    <cellStyle name="40% - 强调文字颜色 6 3" xfId="3908" xr:uid="{00000000-0005-0000-0000-00006C0E0000}"/>
    <cellStyle name="40% - 强调文字颜色 6 3 2" xfId="3909" xr:uid="{00000000-0005-0000-0000-00006D0E0000}"/>
    <cellStyle name="40% - 强调文字颜色 6 3 3" xfId="3910" xr:uid="{00000000-0005-0000-0000-00006E0E0000}"/>
    <cellStyle name="40% - 强调文字颜色 6 4" xfId="3911" xr:uid="{00000000-0005-0000-0000-00006F0E0000}"/>
    <cellStyle name="4P" xfId="2427" xr:uid="{00000000-0005-0000-0000-0000700E0000}"/>
    <cellStyle name="4P?_テーマ_運用ルール?_x0010_標準" xfId="2428" xr:uid="{00000000-0005-0000-0000-0000710E0000}"/>
    <cellStyle name="５「生産本部起因以外」" xfId="121" xr:uid="{00000000-0005-0000-0000-0000720E0000}"/>
    <cellStyle name="60% - Accent1" xfId="2429" xr:uid="{00000000-0005-0000-0000-0000730E0000}"/>
    <cellStyle name="60% - Accent2" xfId="2430" xr:uid="{00000000-0005-0000-0000-0000740E0000}"/>
    <cellStyle name="60% - Accent3" xfId="2431" xr:uid="{00000000-0005-0000-0000-0000750E0000}"/>
    <cellStyle name="60% - Accent4" xfId="2432" xr:uid="{00000000-0005-0000-0000-0000760E0000}"/>
    <cellStyle name="60% - Accent5" xfId="2433" xr:uid="{00000000-0005-0000-0000-0000770E0000}"/>
    <cellStyle name="60% - Accent6" xfId="2434" xr:uid="{00000000-0005-0000-0000-0000780E0000}"/>
    <cellStyle name="60% - アクセント 1 2" xfId="2435" xr:uid="{00000000-0005-0000-0000-0000790E0000}"/>
    <cellStyle name="60% - アクセント 1 2 2" xfId="2818" xr:uid="{00000000-0005-0000-0000-00007A0E0000}"/>
    <cellStyle name="60% - アクセント 2 2" xfId="2436" xr:uid="{00000000-0005-0000-0000-00007B0E0000}"/>
    <cellStyle name="60% - アクセント 2 2 2" xfId="2819" xr:uid="{00000000-0005-0000-0000-00007C0E0000}"/>
    <cellStyle name="60% - アクセント 3 2" xfId="2437" xr:uid="{00000000-0005-0000-0000-00007D0E0000}"/>
    <cellStyle name="60% - アクセント 3 2 2" xfId="2820" xr:uid="{00000000-0005-0000-0000-00007E0E0000}"/>
    <cellStyle name="60% - アクセント 4 2" xfId="2438" xr:uid="{00000000-0005-0000-0000-00007F0E0000}"/>
    <cellStyle name="60% - アクセント 4 2 2" xfId="2821" xr:uid="{00000000-0005-0000-0000-0000800E0000}"/>
    <cellStyle name="60% - アクセント 5 2" xfId="2439" xr:uid="{00000000-0005-0000-0000-0000810E0000}"/>
    <cellStyle name="60% - アクセント 5 2 2" xfId="2822" xr:uid="{00000000-0005-0000-0000-0000820E0000}"/>
    <cellStyle name="60% - アクセント 6 2" xfId="2440" xr:uid="{00000000-0005-0000-0000-0000830E0000}"/>
    <cellStyle name="60% - アクセント 6 2 2" xfId="2823" xr:uid="{00000000-0005-0000-0000-0000840E0000}"/>
    <cellStyle name="60% - 强调文字颜色 1" xfId="2441" xr:uid="{00000000-0005-0000-0000-0000850E0000}"/>
    <cellStyle name="60% - 强调文字颜色 1 2" xfId="3912" xr:uid="{00000000-0005-0000-0000-0000860E0000}"/>
    <cellStyle name="60% - 强调文字颜色 1 2 2" xfId="3913" xr:uid="{00000000-0005-0000-0000-0000870E0000}"/>
    <cellStyle name="60% - 强调文字颜色 1 2 2 2" xfId="3914" xr:uid="{00000000-0005-0000-0000-0000880E0000}"/>
    <cellStyle name="60% - 强调文字颜色 1 2 2 2 2" xfId="3915" xr:uid="{00000000-0005-0000-0000-0000890E0000}"/>
    <cellStyle name="60% - 强调文字颜色 1 2 2 2 3" xfId="3916" xr:uid="{00000000-0005-0000-0000-00008A0E0000}"/>
    <cellStyle name="60% - 强调文字颜色 1 2 2 3" xfId="3917" xr:uid="{00000000-0005-0000-0000-00008B0E0000}"/>
    <cellStyle name="60% - 强调文字颜色 1 2 3" xfId="3918" xr:uid="{00000000-0005-0000-0000-00008C0E0000}"/>
    <cellStyle name="60% - 强调文字颜色 1 2 3 2" xfId="3919" xr:uid="{00000000-0005-0000-0000-00008D0E0000}"/>
    <cellStyle name="60% - 强调文字颜色 1 2 3 3" xfId="3920" xr:uid="{00000000-0005-0000-0000-00008E0E0000}"/>
    <cellStyle name="60% - 强调文字颜色 1 2 4" xfId="3921" xr:uid="{00000000-0005-0000-0000-00008F0E0000}"/>
    <cellStyle name="60% - 强调文字颜色 1 3" xfId="3922" xr:uid="{00000000-0005-0000-0000-0000900E0000}"/>
    <cellStyle name="60% - 强调文字颜色 1 3 2" xfId="3923" xr:uid="{00000000-0005-0000-0000-0000910E0000}"/>
    <cellStyle name="60% - 强调文字颜色 1 3 3" xfId="3924" xr:uid="{00000000-0005-0000-0000-0000920E0000}"/>
    <cellStyle name="60% - 强调文字颜色 1 4" xfId="3925" xr:uid="{00000000-0005-0000-0000-0000930E0000}"/>
    <cellStyle name="60% - 强调文字颜色 2" xfId="2442" xr:uid="{00000000-0005-0000-0000-0000940E0000}"/>
    <cellStyle name="60% - 强调文字颜色 2 2" xfId="3926" xr:uid="{00000000-0005-0000-0000-0000950E0000}"/>
    <cellStyle name="60% - 强调文字颜色 2 2 2" xfId="3927" xr:uid="{00000000-0005-0000-0000-0000960E0000}"/>
    <cellStyle name="60% - 强调文字颜色 2 2 2 2" xfId="3928" xr:uid="{00000000-0005-0000-0000-0000970E0000}"/>
    <cellStyle name="60% - 强调文字颜色 2 2 2 2 2" xfId="3929" xr:uid="{00000000-0005-0000-0000-0000980E0000}"/>
    <cellStyle name="60% - 强调文字颜色 2 2 2 2 3" xfId="3930" xr:uid="{00000000-0005-0000-0000-0000990E0000}"/>
    <cellStyle name="60% - 强调文字颜色 2 2 2 3" xfId="3931" xr:uid="{00000000-0005-0000-0000-00009A0E0000}"/>
    <cellStyle name="60% - 强调文字颜色 2 2 3" xfId="3932" xr:uid="{00000000-0005-0000-0000-00009B0E0000}"/>
    <cellStyle name="60% - 强调文字颜色 2 2 3 2" xfId="3933" xr:uid="{00000000-0005-0000-0000-00009C0E0000}"/>
    <cellStyle name="60% - 强调文字颜色 2 2 3 3" xfId="3934" xr:uid="{00000000-0005-0000-0000-00009D0E0000}"/>
    <cellStyle name="60% - 强调文字颜色 2 2 4" xfId="3935" xr:uid="{00000000-0005-0000-0000-00009E0E0000}"/>
    <cellStyle name="60% - 强调文字颜色 2 3" xfId="3936" xr:uid="{00000000-0005-0000-0000-00009F0E0000}"/>
    <cellStyle name="60% - 强调文字颜色 2 3 2" xfId="3937" xr:uid="{00000000-0005-0000-0000-0000A00E0000}"/>
    <cellStyle name="60% - 强调文字颜色 2 3 3" xfId="3938" xr:uid="{00000000-0005-0000-0000-0000A10E0000}"/>
    <cellStyle name="60% - 强调文字颜色 2 4" xfId="3939" xr:uid="{00000000-0005-0000-0000-0000A20E0000}"/>
    <cellStyle name="60% - 强调文字颜色 3" xfId="2443" xr:uid="{00000000-0005-0000-0000-0000A30E0000}"/>
    <cellStyle name="60% - 强调文字颜色 3 2" xfId="3940" xr:uid="{00000000-0005-0000-0000-0000A40E0000}"/>
    <cellStyle name="60% - 强调文字颜色 3 2 2" xfId="3941" xr:uid="{00000000-0005-0000-0000-0000A50E0000}"/>
    <cellStyle name="60% - 强调文字颜色 3 2 2 2" xfId="3942" xr:uid="{00000000-0005-0000-0000-0000A60E0000}"/>
    <cellStyle name="60% - 强调文字颜色 3 2 2 2 2" xfId="3943" xr:uid="{00000000-0005-0000-0000-0000A70E0000}"/>
    <cellStyle name="60% - 强调文字颜色 3 2 2 2 3" xfId="3944" xr:uid="{00000000-0005-0000-0000-0000A80E0000}"/>
    <cellStyle name="60% - 强调文字颜色 3 2 2 3" xfId="3945" xr:uid="{00000000-0005-0000-0000-0000A90E0000}"/>
    <cellStyle name="60% - 强调文字颜色 3 2 3" xfId="3946" xr:uid="{00000000-0005-0000-0000-0000AA0E0000}"/>
    <cellStyle name="60% - 强调文字颜色 3 2 3 2" xfId="3947" xr:uid="{00000000-0005-0000-0000-0000AB0E0000}"/>
    <cellStyle name="60% - 强调文字颜色 3 2 3 3" xfId="3948" xr:uid="{00000000-0005-0000-0000-0000AC0E0000}"/>
    <cellStyle name="60% - 强调文字颜色 3 2 4" xfId="3949" xr:uid="{00000000-0005-0000-0000-0000AD0E0000}"/>
    <cellStyle name="60% - 强调文字颜色 3 3" xfId="3950" xr:uid="{00000000-0005-0000-0000-0000AE0E0000}"/>
    <cellStyle name="60% - 强调文字颜色 3 3 2" xfId="3951" xr:uid="{00000000-0005-0000-0000-0000AF0E0000}"/>
    <cellStyle name="60% - 强调文字颜色 3 3 3" xfId="3952" xr:uid="{00000000-0005-0000-0000-0000B00E0000}"/>
    <cellStyle name="60% - 强调文字颜色 3 4" xfId="3953" xr:uid="{00000000-0005-0000-0000-0000B10E0000}"/>
    <cellStyle name="60% - 强调文字颜色 4" xfId="2444" xr:uid="{00000000-0005-0000-0000-0000B20E0000}"/>
    <cellStyle name="60% - 强调文字颜色 4 2" xfId="3954" xr:uid="{00000000-0005-0000-0000-0000B30E0000}"/>
    <cellStyle name="60% - 强调文字颜色 4 2 2" xfId="3955" xr:uid="{00000000-0005-0000-0000-0000B40E0000}"/>
    <cellStyle name="60% - 强调文字颜色 4 2 2 2" xfId="3956" xr:uid="{00000000-0005-0000-0000-0000B50E0000}"/>
    <cellStyle name="60% - 强调文字颜色 4 2 2 2 2" xfId="3957" xr:uid="{00000000-0005-0000-0000-0000B60E0000}"/>
    <cellStyle name="60% - 强调文字颜色 4 2 2 2 3" xfId="3958" xr:uid="{00000000-0005-0000-0000-0000B70E0000}"/>
    <cellStyle name="60% - 强调文字颜色 4 2 2 3" xfId="3959" xr:uid="{00000000-0005-0000-0000-0000B80E0000}"/>
    <cellStyle name="60% - 强调文字颜色 4 2 3" xfId="3960" xr:uid="{00000000-0005-0000-0000-0000B90E0000}"/>
    <cellStyle name="60% - 强调文字颜色 4 2 3 2" xfId="3961" xr:uid="{00000000-0005-0000-0000-0000BA0E0000}"/>
    <cellStyle name="60% - 强调文字颜色 4 2 3 3" xfId="3962" xr:uid="{00000000-0005-0000-0000-0000BB0E0000}"/>
    <cellStyle name="60% - 强调文字颜色 4 2 4" xfId="3963" xr:uid="{00000000-0005-0000-0000-0000BC0E0000}"/>
    <cellStyle name="60% - 强调文字颜色 4 3" xfId="3964" xr:uid="{00000000-0005-0000-0000-0000BD0E0000}"/>
    <cellStyle name="60% - 强调文字颜色 4 3 2" xfId="3965" xr:uid="{00000000-0005-0000-0000-0000BE0E0000}"/>
    <cellStyle name="60% - 强调文字颜色 4 3 3" xfId="3966" xr:uid="{00000000-0005-0000-0000-0000BF0E0000}"/>
    <cellStyle name="60% - 强调文字颜色 4 4" xfId="3967" xr:uid="{00000000-0005-0000-0000-0000C00E0000}"/>
    <cellStyle name="60% - 强调文字颜色 5" xfId="2445" xr:uid="{00000000-0005-0000-0000-0000C10E0000}"/>
    <cellStyle name="60% - 强调文字颜色 5 2" xfId="3968" xr:uid="{00000000-0005-0000-0000-0000C20E0000}"/>
    <cellStyle name="60% - 强调文字颜色 5 2 2" xfId="3969" xr:uid="{00000000-0005-0000-0000-0000C30E0000}"/>
    <cellStyle name="60% - 强调文字颜色 5 2 2 2" xfId="3970" xr:uid="{00000000-0005-0000-0000-0000C40E0000}"/>
    <cellStyle name="60% - 强调文字颜色 5 2 2 2 2" xfId="3971" xr:uid="{00000000-0005-0000-0000-0000C50E0000}"/>
    <cellStyle name="60% - 强调文字颜色 5 2 2 2 3" xfId="3972" xr:uid="{00000000-0005-0000-0000-0000C60E0000}"/>
    <cellStyle name="60% - 强调文字颜色 5 2 2 3" xfId="3973" xr:uid="{00000000-0005-0000-0000-0000C70E0000}"/>
    <cellStyle name="60% - 强调文字颜色 5 2 3" xfId="3974" xr:uid="{00000000-0005-0000-0000-0000C80E0000}"/>
    <cellStyle name="60% - 强调文字颜色 5 2 3 2" xfId="3975" xr:uid="{00000000-0005-0000-0000-0000C90E0000}"/>
    <cellStyle name="60% - 强调文字颜色 5 2 3 3" xfId="3976" xr:uid="{00000000-0005-0000-0000-0000CA0E0000}"/>
    <cellStyle name="60% - 强调文字颜色 5 2 4" xfId="3977" xr:uid="{00000000-0005-0000-0000-0000CB0E0000}"/>
    <cellStyle name="60% - 强调文字颜色 5 3" xfId="3978" xr:uid="{00000000-0005-0000-0000-0000CC0E0000}"/>
    <cellStyle name="60% - 强调文字颜色 5 3 2" xfId="3979" xr:uid="{00000000-0005-0000-0000-0000CD0E0000}"/>
    <cellStyle name="60% - 强调文字颜色 5 3 3" xfId="3980" xr:uid="{00000000-0005-0000-0000-0000CE0E0000}"/>
    <cellStyle name="60% - 强调文字颜色 5 4" xfId="3981" xr:uid="{00000000-0005-0000-0000-0000CF0E0000}"/>
    <cellStyle name="60% - 强调文字颜色 6" xfId="2446" xr:uid="{00000000-0005-0000-0000-0000D00E0000}"/>
    <cellStyle name="60% - 强调文字颜色 6 2" xfId="3982" xr:uid="{00000000-0005-0000-0000-0000D10E0000}"/>
    <cellStyle name="60% - 强调文字颜色 6 2 2" xfId="3983" xr:uid="{00000000-0005-0000-0000-0000D20E0000}"/>
    <cellStyle name="60% - 强调文字颜色 6 2 2 2" xfId="3984" xr:uid="{00000000-0005-0000-0000-0000D30E0000}"/>
    <cellStyle name="60% - 强调文字颜色 6 2 2 2 2" xfId="3985" xr:uid="{00000000-0005-0000-0000-0000D40E0000}"/>
    <cellStyle name="60% - 强调文字颜色 6 2 2 2 3" xfId="3986" xr:uid="{00000000-0005-0000-0000-0000D50E0000}"/>
    <cellStyle name="60% - 强调文字颜色 6 2 2 3" xfId="3987" xr:uid="{00000000-0005-0000-0000-0000D60E0000}"/>
    <cellStyle name="60% - 强调文字颜色 6 2 3" xfId="3988" xr:uid="{00000000-0005-0000-0000-0000D70E0000}"/>
    <cellStyle name="60% - 强调文字颜色 6 2 3 2" xfId="3989" xr:uid="{00000000-0005-0000-0000-0000D80E0000}"/>
    <cellStyle name="60% - 强调文字颜色 6 2 3 3" xfId="3990" xr:uid="{00000000-0005-0000-0000-0000D90E0000}"/>
    <cellStyle name="60% - 强调文字颜色 6 2 4" xfId="3991" xr:uid="{00000000-0005-0000-0000-0000DA0E0000}"/>
    <cellStyle name="60% - 强调文字颜色 6 3" xfId="3992" xr:uid="{00000000-0005-0000-0000-0000DB0E0000}"/>
    <cellStyle name="60% - 强调文字颜色 6 3 2" xfId="3993" xr:uid="{00000000-0005-0000-0000-0000DC0E0000}"/>
    <cellStyle name="60% - 强调文字颜色 6 3 3" xfId="3994" xr:uid="{00000000-0005-0000-0000-0000DD0E0000}"/>
    <cellStyle name="60% - 强调文字颜色 6 4" xfId="3995" xr:uid="{00000000-0005-0000-0000-0000DE0E0000}"/>
    <cellStyle name="A??? [0]_INQUIRY ????A?A? " xfId="122" xr:uid="{00000000-0005-0000-0000-0000DF0E0000}"/>
    <cellStyle name="A???![0]_INQUIRY!????A?A?!" xfId="2447" xr:uid="{00000000-0005-0000-0000-0000E00E0000}"/>
    <cellStyle name="A???_INQUIRY ????A?A? " xfId="123" xr:uid="{00000000-0005-0000-0000-0000E10E0000}"/>
    <cellStyle name="A??＝ [0]_INQUIRY ???÷A?A? t??_x0017_F8" xfId="124" xr:uid="{00000000-0005-0000-0000-0000E20E0000}"/>
    <cellStyle name="A??＝_INQUIRY ???÷A?A? ?A? t?" xfId="125" xr:uid="{00000000-0005-0000-0000-0000E30E0000}"/>
    <cellStyle name="A??¶ [0]_INQUIRY ???÷A?A? " xfId="2448" xr:uid="{00000000-0005-0000-0000-0000E40E0000}"/>
    <cellStyle name="A??¶_INQUIRY ???÷A?A? " xfId="2449" xr:uid="{00000000-0005-0000-0000-0000E50E0000}"/>
    <cellStyle name="aaa" xfId="2450" xr:uid="{00000000-0005-0000-0000-0000E60E0000}"/>
    <cellStyle name="aaa 2" xfId="3996" xr:uid="{00000000-0005-0000-0000-0000E70E0000}"/>
    <cellStyle name="abc" xfId="6" xr:uid="{00000000-0005-0000-0000-0000E80E0000}"/>
    <cellStyle name="abc 2" xfId="2824" xr:uid="{00000000-0005-0000-0000-0000E90E0000}"/>
    <cellStyle name="Accent1" xfId="2451" xr:uid="{00000000-0005-0000-0000-0000EA0E0000}"/>
    <cellStyle name="Accent2" xfId="2452" xr:uid="{00000000-0005-0000-0000-0000EB0E0000}"/>
    <cellStyle name="Accent3" xfId="2453" xr:uid="{00000000-0005-0000-0000-0000EC0E0000}"/>
    <cellStyle name="Accent4" xfId="2454" xr:uid="{00000000-0005-0000-0000-0000ED0E0000}"/>
    <cellStyle name="Accent5" xfId="2455" xr:uid="{00000000-0005-0000-0000-0000EE0E0000}"/>
    <cellStyle name="Accent6" xfId="2456" xr:uid="{00000000-0005-0000-0000-0000EF0E0000}"/>
    <cellStyle name="active" xfId="126" xr:uid="{00000000-0005-0000-0000-0000F00E0000}"/>
    <cellStyle name="AeE- [0]_INQUIRY ?μ?÷AsAo " xfId="2457" xr:uid="{00000000-0005-0000-0000-0000F10E0000}"/>
    <cellStyle name="AeE­ [0]_INQUIRY ¿μ¾÷AßAø " xfId="127" xr:uid="{00000000-0005-0000-0000-0000F20E0000}"/>
    <cellStyle name="AeE? [0]_INQUIRY ????A?A? " xfId="128" xr:uid="{00000000-0005-0000-0000-0000F30E0000}"/>
    <cellStyle name="AeE?![0]_INQUIRY!????A?A?!" xfId="2458" xr:uid="{00000000-0005-0000-0000-0000F40E0000}"/>
    <cellStyle name="AeE?_INQUIRY ????A?A? " xfId="129" xr:uid="{00000000-0005-0000-0000-0000F50E0000}"/>
    <cellStyle name="AeE-_INQUIRY ?μ?÷AsAo " xfId="2459" xr:uid="{00000000-0005-0000-0000-0000F60E0000}"/>
    <cellStyle name="AeE­_INQUIRY ¿μ¾÷AßAø " xfId="130" xr:uid="{00000000-0005-0000-0000-0000F70E0000}"/>
    <cellStyle name="ａｉ内容" xfId="7" xr:uid="{00000000-0005-0000-0000-0000F80E0000}"/>
    <cellStyle name="al_laroux_8" xfId="2460" xr:uid="{00000000-0005-0000-0000-0000F90E0000}"/>
    <cellStyle name="AT，¶ [0]_INQUIRY ???÷AsAo " xfId="2461" xr:uid="{00000000-0005-0000-0000-0000FA0E0000}"/>
    <cellStyle name="AT，¶_INQUIRY ???÷AsAo " xfId="2462" xr:uid="{00000000-0005-0000-0000-0000FB0E0000}"/>
    <cellStyle name="AÞ¸¶ [0]_INQUIRY ¿?¾÷AßAø " xfId="131" xr:uid="{00000000-0005-0000-0000-0000FC0E0000}"/>
    <cellStyle name="AÞ¸¶_INQUIRY ¿?¾÷AßAø" xfId="2463" xr:uid="{00000000-0005-0000-0000-0000FD0E0000}"/>
    <cellStyle name="Background" xfId="3997" xr:uid="{00000000-0005-0000-0000-0000FE0E0000}"/>
    <cellStyle name="Bad" xfId="2464" xr:uid="{00000000-0005-0000-0000-0000FF0E0000}"/>
    <cellStyle name="bbb" xfId="2465" xr:uid="{00000000-0005-0000-0000-0000000F0000}"/>
    <cellStyle name="bbb 2" xfId="3998" xr:uid="{00000000-0005-0000-0000-0000010F0000}"/>
    <cellStyle name="blank" xfId="2466" xr:uid="{00000000-0005-0000-0000-0000020F0000}"/>
    <cellStyle name="bP" xfId="132" xr:uid="{00000000-0005-0000-0000-0000030F0000}"/>
    <cellStyle name="bP 2" xfId="2825" xr:uid="{00000000-0005-0000-0000-0000040F0000}"/>
    <cellStyle name="bP 2 2" xfId="3999" xr:uid="{00000000-0005-0000-0000-0000050F0000}"/>
    <cellStyle name="bP 2 2 2" xfId="4000" xr:uid="{00000000-0005-0000-0000-0000060F0000}"/>
    <cellStyle name="bP 2 2 2 2" xfId="4001" xr:uid="{00000000-0005-0000-0000-0000070F0000}"/>
    <cellStyle name="bP 2 2 3" xfId="4002" xr:uid="{00000000-0005-0000-0000-0000080F0000}"/>
    <cellStyle name="bP 2 2 3 2" xfId="4003" xr:uid="{00000000-0005-0000-0000-0000090F0000}"/>
    <cellStyle name="bP 2 2 3 2 2" xfId="4004" xr:uid="{00000000-0005-0000-0000-00000A0F0000}"/>
    <cellStyle name="bP 2 2 3 3" xfId="4005" xr:uid="{00000000-0005-0000-0000-00000B0F0000}"/>
    <cellStyle name="bP 2 2 4" xfId="4006" xr:uid="{00000000-0005-0000-0000-00000C0F0000}"/>
    <cellStyle name="bP 2 3" xfId="4007" xr:uid="{00000000-0005-0000-0000-00000D0F0000}"/>
    <cellStyle name="bP 3" xfId="4008" xr:uid="{00000000-0005-0000-0000-00000E0F0000}"/>
    <cellStyle name="bP 4" xfId="5308" xr:uid="{00000000-0005-0000-0000-00000F0F0000}"/>
    <cellStyle name="bP 4 2" xfId="6376" xr:uid="{00000000-0005-0000-0000-0000100F0000}"/>
    <cellStyle name="bP 5" xfId="5309" xr:uid="{00000000-0005-0000-0000-0000110F0000}"/>
    <cellStyle name="bP 5 2" xfId="6377" xr:uid="{00000000-0005-0000-0000-0000120F0000}"/>
    <cellStyle name="bP 6" xfId="5310" xr:uid="{00000000-0005-0000-0000-0000130F0000}"/>
    <cellStyle name="bP 6 2" xfId="6378" xr:uid="{00000000-0005-0000-0000-0000140F0000}"/>
    <cellStyle name="bP 7" xfId="5311" xr:uid="{00000000-0005-0000-0000-0000150F0000}"/>
    <cellStyle name="bP 7 2" xfId="6379" xr:uid="{00000000-0005-0000-0000-0000160F0000}"/>
    <cellStyle name="bP!" xfId="133" xr:uid="{00000000-0005-0000-0000-0000170F0000}"/>
    <cellStyle name="bP! 2" xfId="4009" xr:uid="{00000000-0005-0000-0000-0000180F0000}"/>
    <cellStyle name="bP! 2 2" xfId="4010" xr:uid="{00000000-0005-0000-0000-0000190F0000}"/>
    <cellStyle name="bP! 2 2 2" xfId="4011" xr:uid="{00000000-0005-0000-0000-00001A0F0000}"/>
    <cellStyle name="bP! 2 2 2 2" xfId="4012" xr:uid="{00000000-0005-0000-0000-00001B0F0000}"/>
    <cellStyle name="bP! 2 2 3" xfId="4013" xr:uid="{00000000-0005-0000-0000-00001C0F0000}"/>
    <cellStyle name="bP! 2 2 3 2" xfId="4014" xr:uid="{00000000-0005-0000-0000-00001D0F0000}"/>
    <cellStyle name="bP! 2 2 3 2 2" xfId="4015" xr:uid="{00000000-0005-0000-0000-00001E0F0000}"/>
    <cellStyle name="bP! 2 2 3 3" xfId="4016" xr:uid="{00000000-0005-0000-0000-00001F0F0000}"/>
    <cellStyle name="bP! 2 2 4" xfId="4017" xr:uid="{00000000-0005-0000-0000-0000200F0000}"/>
    <cellStyle name="bP! 2 3" xfId="4018" xr:uid="{00000000-0005-0000-0000-0000210F0000}"/>
    <cellStyle name="bP! 3" xfId="4019" xr:uid="{00000000-0005-0000-0000-0000220F0000}"/>
    <cellStyle name="bP?_Sheet1_定例報告 (2)???_x0012_標準_Sheet1_添付１?_x0012_標準_Sheet1_添付２?_x0012_標準_SheeP?_添付４?_x0014_標準_Sheet1_棟数ｸﾞﾗﾌ??_x0014_標準_Sheet1_導入計画?_x0011__x0001__x001c_標準_Sheet1_導入計画（概略）?_x0012__x0005__x001c_標準_Sheet1_導入計画（詳細）?_x0015__x0005_&quot;標準_Sheet1_導入計画表（部署）月毎?_x001a_標準_Sheet1_" xfId="2467" xr:uid="{00000000-0005-0000-0000-0000230F0000}"/>
    <cellStyle name="brochure" xfId="2468" xr:uid="{00000000-0005-0000-0000-0000240F0000}"/>
    <cellStyle name="C?A?_????CoE?" xfId="2469" xr:uid="{00000000-0005-0000-0000-0000250F0000}"/>
    <cellStyle name="C?AO_???÷CoE2 " xfId="2470" xr:uid="{00000000-0005-0000-0000-0000260F0000}"/>
    <cellStyle name="C?AØ_¿?¾÷CoE² " xfId="134" xr:uid="{00000000-0005-0000-0000-0000270F0000}"/>
    <cellStyle name="C￥A?_?・?÷CoE? " xfId="135" xr:uid="{00000000-0005-0000-0000-0000280F0000}"/>
    <cellStyle name="C￥AO_?μ?÷CoE2 " xfId="2471" xr:uid="{00000000-0005-0000-0000-0000290F0000}"/>
    <cellStyle name="C￥AØ_¿μ¾÷CoE² " xfId="136" xr:uid="{00000000-0005-0000-0000-00002A0F0000}"/>
    <cellStyle name="CA?_???CoE? " xfId="137" xr:uid="{00000000-0005-0000-0000-00002B0F0000}"/>
    <cellStyle name="Calc Currency (0)" xfId="8" xr:uid="{00000000-0005-0000-0000-00002C0F0000}"/>
    <cellStyle name="Calc Currency (0) 2" xfId="2826" xr:uid="{00000000-0005-0000-0000-00002D0F0000}"/>
    <cellStyle name="Calc Currency (2)" xfId="2472" xr:uid="{00000000-0005-0000-0000-00002E0F0000}"/>
    <cellStyle name="Calc Currency (2) 2" xfId="4020" xr:uid="{00000000-0005-0000-0000-00002F0F0000}"/>
    <cellStyle name="Calc Currency (2) 2 2" xfId="4021" xr:uid="{00000000-0005-0000-0000-0000300F0000}"/>
    <cellStyle name="Calc Currency (2) 3" xfId="4022" xr:uid="{00000000-0005-0000-0000-0000310F0000}"/>
    <cellStyle name="Calc Currency (2) 3 2" xfId="4023" xr:uid="{00000000-0005-0000-0000-0000320F0000}"/>
    <cellStyle name="Calc Currency (2) 3 2 2" xfId="4024" xr:uid="{00000000-0005-0000-0000-0000330F0000}"/>
    <cellStyle name="Calc Currency (2) 3 3" xfId="4025" xr:uid="{00000000-0005-0000-0000-0000340F0000}"/>
    <cellStyle name="Calc Currency (2) 4" xfId="4026" xr:uid="{00000000-0005-0000-0000-0000350F0000}"/>
    <cellStyle name="Calc Percent (0)" xfId="2473" xr:uid="{00000000-0005-0000-0000-0000360F0000}"/>
    <cellStyle name="Calc Percent (1)" xfId="2474" xr:uid="{00000000-0005-0000-0000-0000370F0000}"/>
    <cellStyle name="Calc Percent (2)" xfId="2475" xr:uid="{00000000-0005-0000-0000-0000380F0000}"/>
    <cellStyle name="Calc Percent (2) 2" xfId="4027" xr:uid="{00000000-0005-0000-0000-0000390F0000}"/>
    <cellStyle name="Calc Percent (2) 2 2" xfId="4028" xr:uid="{00000000-0005-0000-0000-00003A0F0000}"/>
    <cellStyle name="Calc Percent (2) 3" xfId="4029" xr:uid="{00000000-0005-0000-0000-00003B0F0000}"/>
    <cellStyle name="Calc Percent (2) 3 2" xfId="4030" xr:uid="{00000000-0005-0000-0000-00003C0F0000}"/>
    <cellStyle name="Calc Percent (2) 3 2 2" xfId="4031" xr:uid="{00000000-0005-0000-0000-00003D0F0000}"/>
    <cellStyle name="Calc Percent (2) 3 3" xfId="4032" xr:uid="{00000000-0005-0000-0000-00003E0F0000}"/>
    <cellStyle name="Calc Percent (2) 4" xfId="4033" xr:uid="{00000000-0005-0000-0000-00003F0F0000}"/>
    <cellStyle name="Calc Units (0)" xfId="2476" xr:uid="{00000000-0005-0000-0000-0000400F0000}"/>
    <cellStyle name="Calc Units (0) 2" xfId="4034" xr:uid="{00000000-0005-0000-0000-0000410F0000}"/>
    <cellStyle name="Calc Units (0) 2 2" xfId="4035" xr:uid="{00000000-0005-0000-0000-0000420F0000}"/>
    <cellStyle name="Calc Units (0) 3" xfId="4036" xr:uid="{00000000-0005-0000-0000-0000430F0000}"/>
    <cellStyle name="Calc Units (0) 3 2" xfId="4037" xr:uid="{00000000-0005-0000-0000-0000440F0000}"/>
    <cellStyle name="Calc Units (0) 3 2 2" xfId="4038" xr:uid="{00000000-0005-0000-0000-0000450F0000}"/>
    <cellStyle name="Calc Units (0) 3 3" xfId="4039" xr:uid="{00000000-0005-0000-0000-0000460F0000}"/>
    <cellStyle name="Calc Units (0) 4" xfId="4040" xr:uid="{00000000-0005-0000-0000-0000470F0000}"/>
    <cellStyle name="Calc Units (1)" xfId="2477" xr:uid="{00000000-0005-0000-0000-0000480F0000}"/>
    <cellStyle name="Calc Units (2)" xfId="2478" xr:uid="{00000000-0005-0000-0000-0000490F0000}"/>
    <cellStyle name="Calc Units (2) 2" xfId="4041" xr:uid="{00000000-0005-0000-0000-00004A0F0000}"/>
    <cellStyle name="Calc Units (2) 2 2" xfId="4042" xr:uid="{00000000-0005-0000-0000-00004B0F0000}"/>
    <cellStyle name="Calc Units (2) 3" xfId="4043" xr:uid="{00000000-0005-0000-0000-00004C0F0000}"/>
    <cellStyle name="Calc Units (2) 3 2" xfId="4044" xr:uid="{00000000-0005-0000-0000-00004D0F0000}"/>
    <cellStyle name="Calc Units (2) 3 2 2" xfId="4045" xr:uid="{00000000-0005-0000-0000-00004E0F0000}"/>
    <cellStyle name="Calc Units (2) 3 3" xfId="4046" xr:uid="{00000000-0005-0000-0000-00004F0F0000}"/>
    <cellStyle name="Calc Units (2) 4" xfId="4047" xr:uid="{00000000-0005-0000-0000-0000500F0000}"/>
    <cellStyle name="Calc!Currency!(0)" xfId="138" xr:uid="{00000000-0005-0000-0000-0000510F0000}"/>
    <cellStyle name="Calculation" xfId="2479" xr:uid="{00000000-0005-0000-0000-0000520F0000}"/>
    <cellStyle name="Calculation 2" xfId="4048" xr:uid="{00000000-0005-0000-0000-0000530F0000}"/>
    <cellStyle name="Check Cell" xfId="2480" xr:uid="{00000000-0005-0000-0000-0000540F0000}"/>
    <cellStyle name="ColLevel_0" xfId="2481" xr:uid="{00000000-0005-0000-0000-0000550F0000}"/>
    <cellStyle name="Comma  - Style1" xfId="2482" xr:uid="{00000000-0005-0000-0000-0000560F0000}"/>
    <cellStyle name="Comma  - Style2" xfId="2483" xr:uid="{00000000-0005-0000-0000-0000570F0000}"/>
    <cellStyle name="Comma  - Style3" xfId="2484" xr:uid="{00000000-0005-0000-0000-0000580F0000}"/>
    <cellStyle name="Comma  - Style4" xfId="2485" xr:uid="{00000000-0005-0000-0000-0000590F0000}"/>
    <cellStyle name="Comma  - Style5" xfId="2486" xr:uid="{00000000-0005-0000-0000-00005A0F0000}"/>
    <cellStyle name="Comma  - Style6" xfId="2487" xr:uid="{00000000-0005-0000-0000-00005B0F0000}"/>
    <cellStyle name="Comma  - Style7" xfId="2488" xr:uid="{00000000-0005-0000-0000-00005C0F0000}"/>
    <cellStyle name="Comma  - Style8" xfId="2489" xr:uid="{00000000-0005-0000-0000-00005D0F0000}"/>
    <cellStyle name="Comma [0]" xfId="9" xr:uid="{00000000-0005-0000-0000-00005E0F0000}"/>
    <cellStyle name="Comma [0] 2" xfId="2827" xr:uid="{00000000-0005-0000-0000-00005F0F0000}"/>
    <cellStyle name="Comma [0] 2 2" xfId="4049" xr:uid="{00000000-0005-0000-0000-0000600F0000}"/>
    <cellStyle name="Comma [0] 2 3" xfId="4050" xr:uid="{00000000-0005-0000-0000-0000610F0000}"/>
    <cellStyle name="Comma [0] 3" xfId="139" xr:uid="{00000000-0005-0000-0000-0000620F0000}"/>
    <cellStyle name="Comma [0],[red]-[0]" xfId="2490" xr:uid="{00000000-0005-0000-0000-0000630F0000}"/>
    <cellStyle name="Comma [0],[red]-0" xfId="2491" xr:uid="{00000000-0005-0000-0000-0000640F0000}"/>
    <cellStyle name="Comma [0]_(SR海外)_工程台帳" xfId="2492" xr:uid="{00000000-0005-0000-0000-0000650F0000}"/>
    <cellStyle name="Comma [00]" xfId="2493" xr:uid="{00000000-0005-0000-0000-0000660F0000}"/>
    <cellStyle name="Comma [00] 2" xfId="4051" xr:uid="{00000000-0005-0000-0000-0000670F0000}"/>
    <cellStyle name="Comma [00] 2 2" xfId="4052" xr:uid="{00000000-0005-0000-0000-0000680F0000}"/>
    <cellStyle name="Comma [00] 3" xfId="4053" xr:uid="{00000000-0005-0000-0000-0000690F0000}"/>
    <cellStyle name="Comma [00] 3 2" xfId="4054" xr:uid="{00000000-0005-0000-0000-00006A0F0000}"/>
    <cellStyle name="Comma [00] 3 2 2" xfId="4055" xr:uid="{00000000-0005-0000-0000-00006B0F0000}"/>
    <cellStyle name="Comma [00] 3 3" xfId="4056" xr:uid="{00000000-0005-0000-0000-00006C0F0000}"/>
    <cellStyle name="Comma [00] 4" xfId="4057" xr:uid="{00000000-0005-0000-0000-00006D0F0000}"/>
    <cellStyle name="Comma [red][0]" xfId="2494" xr:uid="{00000000-0005-0000-0000-00006E0F0000}"/>
    <cellStyle name="Comma {red}[0]" xfId="2495" xr:uid="{00000000-0005-0000-0000-00006F0F0000}"/>
    <cellStyle name="Comma![0]" xfId="140" xr:uid="{00000000-0005-0000-0000-0000700F0000}"/>
    <cellStyle name="Comma_#6 Temps &amp; Contractors" xfId="2496" xr:uid="{00000000-0005-0000-0000-0000710F0000}"/>
    <cellStyle name="Comma0" xfId="141" xr:uid="{00000000-0005-0000-0000-0000720F0000}"/>
    <cellStyle name="Cur" xfId="2497" xr:uid="{00000000-0005-0000-0000-0000730F0000}"/>
    <cellStyle name="Currency [0]" xfId="10" xr:uid="{00000000-0005-0000-0000-0000740F0000}"/>
    <cellStyle name="Currency [0] 2" xfId="2828" xr:uid="{00000000-0005-0000-0000-0000750F0000}"/>
    <cellStyle name="Currency [00]" xfId="2498" xr:uid="{00000000-0005-0000-0000-0000760F0000}"/>
    <cellStyle name="Currency [00] 2" xfId="4058" xr:uid="{00000000-0005-0000-0000-0000770F0000}"/>
    <cellStyle name="Currency [00] 2 2" xfId="4059" xr:uid="{00000000-0005-0000-0000-0000780F0000}"/>
    <cellStyle name="Currency [00] 3" xfId="4060" xr:uid="{00000000-0005-0000-0000-0000790F0000}"/>
    <cellStyle name="Currency [00] 3 2" xfId="4061" xr:uid="{00000000-0005-0000-0000-00007A0F0000}"/>
    <cellStyle name="Currency [00] 3 2 2" xfId="4062" xr:uid="{00000000-0005-0000-0000-00007B0F0000}"/>
    <cellStyle name="Currency [00] 3 3" xfId="4063" xr:uid="{00000000-0005-0000-0000-00007C0F0000}"/>
    <cellStyle name="Currency [00] 4" xfId="4064" xr:uid="{00000000-0005-0000-0000-00007D0F0000}"/>
    <cellStyle name="Currency![0]" xfId="142" xr:uid="{00000000-0005-0000-0000-00007E0F0000}"/>
    <cellStyle name="Currency_#6 Temps &amp; Contractors" xfId="2499" xr:uid="{00000000-0005-0000-0000-00007F0F0000}"/>
    <cellStyle name="Currency0" xfId="143" xr:uid="{00000000-0005-0000-0000-0000800F0000}"/>
    <cellStyle name="ċଊĂЈȂă\ऌଃ" xfId="2500" xr:uid="{00000000-0005-0000-0000-0000810F0000}"/>
    <cellStyle name="Date" xfId="144" xr:uid="{00000000-0005-0000-0000-0000820F0000}"/>
    <cellStyle name="Date Short" xfId="2501" xr:uid="{00000000-0005-0000-0000-0000830F0000}"/>
    <cellStyle name="Date_2012年度 保全担当者資料" xfId="2502" xr:uid="{00000000-0005-0000-0000-0000840F0000}"/>
    <cellStyle name="Enter Currency (0)" xfId="2503" xr:uid="{00000000-0005-0000-0000-0000850F0000}"/>
    <cellStyle name="Enter Currency (0) 2" xfId="4065" xr:uid="{00000000-0005-0000-0000-0000860F0000}"/>
    <cellStyle name="Enter Currency (0) 2 2" xfId="4066" xr:uid="{00000000-0005-0000-0000-0000870F0000}"/>
    <cellStyle name="Enter Currency (0) 3" xfId="4067" xr:uid="{00000000-0005-0000-0000-0000880F0000}"/>
    <cellStyle name="Enter Currency (0) 3 2" xfId="4068" xr:uid="{00000000-0005-0000-0000-0000890F0000}"/>
    <cellStyle name="Enter Currency (0) 3 2 2" xfId="4069" xr:uid="{00000000-0005-0000-0000-00008A0F0000}"/>
    <cellStyle name="Enter Currency (0) 3 3" xfId="4070" xr:uid="{00000000-0005-0000-0000-00008B0F0000}"/>
    <cellStyle name="Enter Currency (0) 4" xfId="4071" xr:uid="{00000000-0005-0000-0000-00008C0F0000}"/>
    <cellStyle name="Enter Currency (2)" xfId="2504" xr:uid="{00000000-0005-0000-0000-00008D0F0000}"/>
    <cellStyle name="Enter Currency (2) 2" xfId="4072" xr:uid="{00000000-0005-0000-0000-00008E0F0000}"/>
    <cellStyle name="Enter Currency (2) 2 2" xfId="4073" xr:uid="{00000000-0005-0000-0000-00008F0F0000}"/>
    <cellStyle name="Enter Currency (2) 3" xfId="4074" xr:uid="{00000000-0005-0000-0000-0000900F0000}"/>
    <cellStyle name="Enter Currency (2) 3 2" xfId="4075" xr:uid="{00000000-0005-0000-0000-0000910F0000}"/>
    <cellStyle name="Enter Currency (2) 3 2 2" xfId="4076" xr:uid="{00000000-0005-0000-0000-0000920F0000}"/>
    <cellStyle name="Enter Currency (2) 3 3" xfId="4077" xr:uid="{00000000-0005-0000-0000-0000930F0000}"/>
    <cellStyle name="Enter Currency (2) 4" xfId="4078" xr:uid="{00000000-0005-0000-0000-0000940F0000}"/>
    <cellStyle name="Enter Units (0)" xfId="2505" xr:uid="{00000000-0005-0000-0000-0000950F0000}"/>
    <cellStyle name="Enter Units (0) 2" xfId="4079" xr:uid="{00000000-0005-0000-0000-0000960F0000}"/>
    <cellStyle name="Enter Units (0) 2 2" xfId="4080" xr:uid="{00000000-0005-0000-0000-0000970F0000}"/>
    <cellStyle name="Enter Units (0) 3" xfId="4081" xr:uid="{00000000-0005-0000-0000-0000980F0000}"/>
    <cellStyle name="Enter Units (0) 3 2" xfId="4082" xr:uid="{00000000-0005-0000-0000-0000990F0000}"/>
    <cellStyle name="Enter Units (0) 3 2 2" xfId="4083" xr:uid="{00000000-0005-0000-0000-00009A0F0000}"/>
    <cellStyle name="Enter Units (0) 3 3" xfId="4084" xr:uid="{00000000-0005-0000-0000-00009B0F0000}"/>
    <cellStyle name="Enter Units (0) 4" xfId="4085" xr:uid="{00000000-0005-0000-0000-00009C0F0000}"/>
    <cellStyle name="Enter Units (1)" xfId="2506" xr:uid="{00000000-0005-0000-0000-00009D0F0000}"/>
    <cellStyle name="Enter Units (2)" xfId="2507" xr:uid="{00000000-0005-0000-0000-00009E0F0000}"/>
    <cellStyle name="Enter Units (2) 2" xfId="4086" xr:uid="{00000000-0005-0000-0000-00009F0F0000}"/>
    <cellStyle name="Enter Units (2) 2 2" xfId="4087" xr:uid="{00000000-0005-0000-0000-0000A00F0000}"/>
    <cellStyle name="Enter Units (2) 3" xfId="4088" xr:uid="{00000000-0005-0000-0000-0000A10F0000}"/>
    <cellStyle name="Enter Units (2) 3 2" xfId="4089" xr:uid="{00000000-0005-0000-0000-0000A20F0000}"/>
    <cellStyle name="Enter Units (2) 3 2 2" xfId="4090" xr:uid="{00000000-0005-0000-0000-0000A30F0000}"/>
    <cellStyle name="Enter Units (2) 3 3" xfId="4091" xr:uid="{00000000-0005-0000-0000-0000A40F0000}"/>
    <cellStyle name="Enter Units (2) 4" xfId="4092" xr:uid="{00000000-0005-0000-0000-0000A50F0000}"/>
    <cellStyle name="entry" xfId="145" xr:uid="{00000000-0005-0000-0000-0000A60F0000}"/>
    <cellStyle name="er1" xfId="2508" xr:uid="{00000000-0005-0000-0000-0000A70F0000}"/>
    <cellStyle name="er1?b_x0007_Header2??_x000e_No_Channel Table_1_Module1?_x0016_Normal_Channel Table_2?&quot;Normal_Channel Table_Chann?_x000d_ Tab" xfId="2509" xr:uid="{00000000-0005-0000-0000-0000A80F0000}"/>
    <cellStyle name="er1?b_x0007_Header2?e_x000e_No_Channel Table_1_Module1?_x0016_Normal_Channel Table_2?&quot;Normal_Channel Table_Chann?_x000d_ Tab" xfId="2510" xr:uid="{00000000-0005-0000-0000-0000A90F0000}"/>
    <cellStyle name="er1?b_x0007_Header2?é_x000e_No_Channel Table_1_Module1?_x0016_Normal_Channel Table_2?&quot;Normal_Channel Table_Channⵥ_x000d_ Tab" xfId="2511" xr:uid="{00000000-0005-0000-0000-0000AA0F0000}"/>
    <cellStyle name="Euro" xfId="4093" xr:uid="{00000000-0005-0000-0000-0000AB0F0000}"/>
    <cellStyle name="Explanatory Text" xfId="2512" xr:uid="{00000000-0005-0000-0000-0000AC0F0000}"/>
    <cellStyle name="FAｺﾞｼｯｸ" xfId="146" xr:uid="{00000000-0005-0000-0000-0000AD0F0000}"/>
    <cellStyle name="Fixed" xfId="147" xr:uid="{00000000-0005-0000-0000-0000AE0F0000}"/>
    <cellStyle name="ƒnƒCƒp[ƒŠƒ“ƒN" xfId="2513" xr:uid="{00000000-0005-0000-0000-0000AF0F0000}"/>
    <cellStyle name="Followed Hyperlink" xfId="148" xr:uid="{00000000-0005-0000-0000-0000B00F0000}"/>
    <cellStyle name="Followed Hyperlink 2" xfId="2829" xr:uid="{00000000-0005-0000-0000-0000B10F0000}"/>
    <cellStyle name="fP" xfId="2514" xr:uid="{00000000-0005-0000-0000-0000B20F0000}"/>
    <cellStyle name="fP?" xfId="2515" xr:uid="{00000000-0005-0000-0000-0000B30F0000}"/>
    <cellStyle name="Good" xfId="2516" xr:uid="{00000000-0005-0000-0000-0000B40F0000}"/>
    <cellStyle name="Grey" xfId="11" xr:uid="{00000000-0005-0000-0000-0000B50F0000}"/>
    <cellStyle name="Grey 2" xfId="2830" xr:uid="{00000000-0005-0000-0000-0000B60F0000}"/>
    <cellStyle name="Header" xfId="2517" xr:uid="{00000000-0005-0000-0000-0000B70F0000}"/>
    <cellStyle name="Header1" xfId="12" xr:uid="{00000000-0005-0000-0000-0000B80F0000}"/>
    <cellStyle name="Header1 2" xfId="2831" xr:uid="{00000000-0005-0000-0000-0000B90F0000}"/>
    <cellStyle name="Header2" xfId="13" xr:uid="{00000000-0005-0000-0000-0000BA0F0000}"/>
    <cellStyle name="Header2 2" xfId="2832" xr:uid="{00000000-0005-0000-0000-0000BB0F0000}"/>
    <cellStyle name="Header2 2 2" xfId="5404" xr:uid="{00000000-0005-0000-0000-0000BC0F0000}"/>
    <cellStyle name="Header2 3" xfId="5383" xr:uid="{00000000-0005-0000-0000-0000BD0F0000}"/>
    <cellStyle name="Header3" xfId="2518" xr:uid="{00000000-0005-0000-0000-0000BE0F0000}"/>
    <cellStyle name="Heading 1" xfId="149" xr:uid="{00000000-0005-0000-0000-0000BF0F0000}"/>
    <cellStyle name="Heading 2" xfId="150" xr:uid="{00000000-0005-0000-0000-0000C00F0000}"/>
    <cellStyle name="Heading 3" xfId="2519" xr:uid="{00000000-0005-0000-0000-0000C10F0000}"/>
    <cellStyle name="Heading 4" xfId="2520" xr:uid="{00000000-0005-0000-0000-0000C20F0000}"/>
    <cellStyle name="Heading!1" xfId="2521" xr:uid="{00000000-0005-0000-0000-0000C30F0000}"/>
    <cellStyle name="Heading!2" xfId="2522" xr:uid="{00000000-0005-0000-0000-0000C40F0000}"/>
    <cellStyle name="Hyperlink" xfId="151" xr:uid="{00000000-0005-0000-0000-0000C50F0000}"/>
    <cellStyle name="Hyperlink 2" xfId="2833" xr:uid="{00000000-0005-0000-0000-0000C60F0000}"/>
    <cellStyle name="I" xfId="2523" xr:uid="{00000000-0005-0000-0000-0000C70F0000}"/>
    <cellStyle name="IBM(401K)" xfId="4094" xr:uid="{00000000-0005-0000-0000-0000C80F0000}"/>
    <cellStyle name="IDA" xfId="2524" xr:uid="{00000000-0005-0000-0000-0000C90F0000}"/>
    <cellStyle name="IDA 2" xfId="4095" xr:uid="{00000000-0005-0000-0000-0000CA0F0000}"/>
    <cellStyle name="IDA 2 2" xfId="5416" xr:uid="{00000000-0005-0000-0000-0000CB0F0000}"/>
    <cellStyle name="IDA 3" xfId="5397" xr:uid="{00000000-0005-0000-0000-0000CC0F0000}"/>
    <cellStyle name="Input" xfId="2525" xr:uid="{00000000-0005-0000-0000-0000CD0F0000}"/>
    <cellStyle name="Input [yellow]" xfId="14" xr:uid="{00000000-0005-0000-0000-0000CE0F0000}"/>
    <cellStyle name="Input [yellow] 2" xfId="2834" xr:uid="{00000000-0005-0000-0000-0000CF0F0000}"/>
    <cellStyle name="Input [yellow] 2 2" xfId="5405" xr:uid="{00000000-0005-0000-0000-0000D00F0000}"/>
    <cellStyle name="Input [yellow] 3" xfId="5384" xr:uid="{00000000-0005-0000-0000-0000D10F0000}"/>
    <cellStyle name="Input 2" xfId="4096" xr:uid="{00000000-0005-0000-0000-0000D20F0000}"/>
    <cellStyle name="Input![yellow]" xfId="2526" xr:uid="{00000000-0005-0000-0000-0000D30F0000}"/>
    <cellStyle name="Input![yellow] 2" xfId="4097" xr:uid="{00000000-0005-0000-0000-0000D40F0000}"/>
    <cellStyle name="J401K" xfId="4098" xr:uid="{00000000-0005-0000-0000-0000D50F0000}"/>
    <cellStyle name="jP" xfId="2527" xr:uid="{00000000-0005-0000-0000-0000D60F0000}"/>
    <cellStyle name="jP 2" xfId="4099" xr:uid="{00000000-0005-0000-0000-0000D70F0000}"/>
    <cellStyle name="jP 2 2" xfId="4100" xr:uid="{00000000-0005-0000-0000-0000D80F0000}"/>
    <cellStyle name="jP 3" xfId="4101" xr:uid="{00000000-0005-0000-0000-0000D90F0000}"/>
    <cellStyle name="jP 3 2" xfId="4102" xr:uid="{00000000-0005-0000-0000-0000DA0F0000}"/>
    <cellStyle name="jP 3 2 2" xfId="4103" xr:uid="{00000000-0005-0000-0000-0000DB0F0000}"/>
    <cellStyle name="jP 3 3" xfId="4104" xr:uid="{00000000-0005-0000-0000-0000DC0F0000}"/>
    <cellStyle name="jP 4" xfId="4105" xr:uid="{00000000-0005-0000-0000-0000DD0F0000}"/>
    <cellStyle name="jP?_富士吉田??_x0014_標準_普及開発内訳表 ???_x000d_標準_負担金１??_x000d_標準_分担 (2)?_x0001__x001f_標準_P?類別・部門別（仕事）内訳?_x0001_b?_x0009_標準_別紙?_x0001__x001d_標準_別紙（重大トラブル内容）?_x0001__x000b_標準_別紙１?Q_x0001__x0009_標準_方 " xfId="2528" xr:uid="{00000000-0005-0000-0000-0000DE0F0000}"/>
    <cellStyle name="KWE標準" xfId="152" xr:uid="{00000000-0005-0000-0000-0000DF0F0000}"/>
    <cellStyle name="Link Currency (0)" xfId="2529" xr:uid="{00000000-0005-0000-0000-0000E00F0000}"/>
    <cellStyle name="Link Currency (0) 2" xfId="4106" xr:uid="{00000000-0005-0000-0000-0000E10F0000}"/>
    <cellStyle name="Link Currency (0) 2 2" xfId="4107" xr:uid="{00000000-0005-0000-0000-0000E20F0000}"/>
    <cellStyle name="Link Currency (0) 3" xfId="4108" xr:uid="{00000000-0005-0000-0000-0000E30F0000}"/>
    <cellStyle name="Link Currency (0) 3 2" xfId="4109" xr:uid="{00000000-0005-0000-0000-0000E40F0000}"/>
    <cellStyle name="Link Currency (0) 3 2 2" xfId="4110" xr:uid="{00000000-0005-0000-0000-0000E50F0000}"/>
    <cellStyle name="Link Currency (0) 3 3" xfId="4111" xr:uid="{00000000-0005-0000-0000-0000E60F0000}"/>
    <cellStyle name="Link Currency (0) 4" xfId="4112" xr:uid="{00000000-0005-0000-0000-0000E70F0000}"/>
    <cellStyle name="Link Currency (2)" xfId="2530" xr:uid="{00000000-0005-0000-0000-0000E80F0000}"/>
    <cellStyle name="Link Currency (2) 2" xfId="4113" xr:uid="{00000000-0005-0000-0000-0000E90F0000}"/>
    <cellStyle name="Link Currency (2) 2 2" xfId="4114" xr:uid="{00000000-0005-0000-0000-0000EA0F0000}"/>
    <cellStyle name="Link Currency (2) 3" xfId="4115" xr:uid="{00000000-0005-0000-0000-0000EB0F0000}"/>
    <cellStyle name="Link Currency (2) 3 2" xfId="4116" xr:uid="{00000000-0005-0000-0000-0000EC0F0000}"/>
    <cellStyle name="Link Currency (2) 3 2 2" xfId="4117" xr:uid="{00000000-0005-0000-0000-0000ED0F0000}"/>
    <cellStyle name="Link Currency (2) 3 3" xfId="4118" xr:uid="{00000000-0005-0000-0000-0000EE0F0000}"/>
    <cellStyle name="Link Currency (2) 4" xfId="4119" xr:uid="{00000000-0005-0000-0000-0000EF0F0000}"/>
    <cellStyle name="Link Units (0)" xfId="2531" xr:uid="{00000000-0005-0000-0000-0000F00F0000}"/>
    <cellStyle name="Link Units (0) 2" xfId="4120" xr:uid="{00000000-0005-0000-0000-0000F10F0000}"/>
    <cellStyle name="Link Units (0) 2 2" xfId="4121" xr:uid="{00000000-0005-0000-0000-0000F20F0000}"/>
    <cellStyle name="Link Units (0) 3" xfId="4122" xr:uid="{00000000-0005-0000-0000-0000F30F0000}"/>
    <cellStyle name="Link Units (0) 3 2" xfId="4123" xr:uid="{00000000-0005-0000-0000-0000F40F0000}"/>
    <cellStyle name="Link Units (0) 3 2 2" xfId="4124" xr:uid="{00000000-0005-0000-0000-0000F50F0000}"/>
    <cellStyle name="Link Units (0) 3 3" xfId="4125" xr:uid="{00000000-0005-0000-0000-0000F60F0000}"/>
    <cellStyle name="Link Units (0) 4" xfId="4126" xr:uid="{00000000-0005-0000-0000-0000F70F0000}"/>
    <cellStyle name="Link Units (1)" xfId="2532" xr:uid="{00000000-0005-0000-0000-0000F80F0000}"/>
    <cellStyle name="Link Units (2)" xfId="2533" xr:uid="{00000000-0005-0000-0000-0000F90F0000}"/>
    <cellStyle name="Link Units (2) 2" xfId="4127" xr:uid="{00000000-0005-0000-0000-0000FA0F0000}"/>
    <cellStyle name="Link Units (2) 2 2" xfId="4128" xr:uid="{00000000-0005-0000-0000-0000FB0F0000}"/>
    <cellStyle name="Link Units (2) 3" xfId="4129" xr:uid="{00000000-0005-0000-0000-0000FC0F0000}"/>
    <cellStyle name="Link Units (2) 3 2" xfId="4130" xr:uid="{00000000-0005-0000-0000-0000FD0F0000}"/>
    <cellStyle name="Link Units (2) 3 2 2" xfId="4131" xr:uid="{00000000-0005-0000-0000-0000FE0F0000}"/>
    <cellStyle name="Link Units (2) 3 3" xfId="4132" xr:uid="{00000000-0005-0000-0000-0000FF0F0000}"/>
    <cellStyle name="Link Units (2) 4" xfId="4133" xr:uid="{00000000-0005-0000-0000-000000100000}"/>
    <cellStyle name="Linked Cell" xfId="2534" xr:uid="{00000000-0005-0000-0000-000001100000}"/>
    <cellStyle name="midasi" xfId="153" xr:uid="{00000000-0005-0000-0000-000002100000}"/>
    <cellStyle name="midasi 2" xfId="2835" xr:uid="{00000000-0005-0000-0000-000003100000}"/>
    <cellStyle name="Milliers [0]_AR1194" xfId="154" xr:uid="{00000000-0005-0000-0000-000004100000}"/>
    <cellStyle name="Milliers![0]_AR1194" xfId="2535" xr:uid="{00000000-0005-0000-0000-000005100000}"/>
    <cellStyle name="Milliers_AR1194" xfId="155" xr:uid="{00000000-0005-0000-0000-000006100000}"/>
    <cellStyle name="Mon?taire [0]_AR1194" xfId="156" xr:uid="{00000000-0005-0000-0000-000007100000}"/>
    <cellStyle name="Mon?taire![0]_AR1194" xfId="2536" xr:uid="{00000000-0005-0000-0000-000008100000}"/>
    <cellStyle name="Mon?taire_AR1194" xfId="157" xr:uid="{00000000-0005-0000-0000-000009100000}"/>
    <cellStyle name="Monetaire [0]_AR1194" xfId="2537" xr:uid="{00000000-0005-0000-0000-00000A100000}"/>
    <cellStyle name="Monétaire [0]_AR1194" xfId="158" xr:uid="{00000000-0005-0000-0000-00000B100000}"/>
    <cellStyle name="Monetaire_AR1194" xfId="2538" xr:uid="{00000000-0005-0000-0000-00000C100000}"/>
    <cellStyle name="Monétaire_AR1194" xfId="159" xr:uid="{00000000-0005-0000-0000-00000D100000}"/>
    <cellStyle name="Mon騁aire [0]_AR1194" xfId="160" xr:uid="{00000000-0005-0000-0000-00000E100000}"/>
    <cellStyle name="Mon騁aire![0]_AR1194" xfId="2539" xr:uid="{00000000-0005-0000-0000-00000F100000}"/>
    <cellStyle name="Mon騁aire_AR1194" xfId="161" xr:uid="{00000000-0005-0000-0000-000010100000}"/>
    <cellStyle name="MSみんちょう10" xfId="2540" xr:uid="{00000000-0005-0000-0000-000011100000}"/>
    <cellStyle name="MyStyle1" xfId="2541" xr:uid="{00000000-0005-0000-0000-000012100000}"/>
    <cellStyle name="MyStyle2" xfId="2542" xr:uid="{00000000-0005-0000-0000-000013100000}"/>
    <cellStyle name="MyStyle2 2" xfId="5792" xr:uid="{00000000-0005-0000-0000-000014100000}"/>
    <cellStyle name="Neutral" xfId="2543" xr:uid="{00000000-0005-0000-0000-000015100000}"/>
    <cellStyle name="New Times Roman" xfId="4134" xr:uid="{00000000-0005-0000-0000-000016100000}"/>
    <cellStyle name="no dec" xfId="2544" xr:uid="{00000000-0005-0000-0000-000017100000}"/>
    <cellStyle name="Normal - Style1" xfId="15" xr:uid="{00000000-0005-0000-0000-000018100000}"/>
    <cellStyle name="Normal - Style1 2" xfId="2836" xr:uid="{00000000-0005-0000-0000-000019100000}"/>
    <cellStyle name="Normal - Style1 2 2" xfId="4135" xr:uid="{00000000-0005-0000-0000-00001A100000}"/>
    <cellStyle name="Normal - Style1 2 2 2" xfId="4136" xr:uid="{00000000-0005-0000-0000-00001B100000}"/>
    <cellStyle name="Normal - Style1 2 2 2 2" xfId="4137" xr:uid="{00000000-0005-0000-0000-00001C100000}"/>
    <cellStyle name="Normal - Style1 2 2 3" xfId="4138" xr:uid="{00000000-0005-0000-0000-00001D100000}"/>
    <cellStyle name="Normal - Style1 2 2 3 2" xfId="4139" xr:uid="{00000000-0005-0000-0000-00001E100000}"/>
    <cellStyle name="Normal - Style1 2 2 3 2 2" xfId="4140" xr:uid="{00000000-0005-0000-0000-00001F100000}"/>
    <cellStyle name="Normal - Style1 2 2 3 3" xfId="4141" xr:uid="{00000000-0005-0000-0000-000020100000}"/>
    <cellStyle name="Normal - Style1 2 2 4" xfId="4142" xr:uid="{00000000-0005-0000-0000-000021100000}"/>
    <cellStyle name="Normal - Style1 2 3" xfId="4143" xr:uid="{00000000-0005-0000-0000-000022100000}"/>
    <cellStyle name="Normal - Style1 3" xfId="4144" xr:uid="{00000000-0005-0000-0000-000023100000}"/>
    <cellStyle name="Normal - Style1 4" xfId="5312" xr:uid="{00000000-0005-0000-0000-000024100000}"/>
    <cellStyle name="Normal - Style1 4 2" xfId="6380" xr:uid="{00000000-0005-0000-0000-000025100000}"/>
    <cellStyle name="Normal - Style1 5" xfId="5313" xr:uid="{00000000-0005-0000-0000-000026100000}"/>
    <cellStyle name="Normal - Style1 5 2" xfId="6381" xr:uid="{00000000-0005-0000-0000-000027100000}"/>
    <cellStyle name="Normal - Style1 6" xfId="5314" xr:uid="{00000000-0005-0000-0000-000028100000}"/>
    <cellStyle name="Normal - Style1 6 2" xfId="6382" xr:uid="{00000000-0005-0000-0000-000029100000}"/>
    <cellStyle name="Normal - Style1 7" xfId="5315" xr:uid="{00000000-0005-0000-0000-00002A100000}"/>
    <cellStyle name="Normal - Style1 7 2" xfId="6383" xr:uid="{00000000-0005-0000-0000-00002B100000}"/>
    <cellStyle name="Normal - Style1 8" xfId="162" xr:uid="{00000000-0005-0000-0000-00002C100000}"/>
    <cellStyle name="Normal - スタイル1" xfId="2545" xr:uid="{00000000-0005-0000-0000-00002D100000}"/>
    <cellStyle name="Normal - スタイル2" xfId="2546" xr:uid="{00000000-0005-0000-0000-00002E100000}"/>
    <cellStyle name="Normal - スタイル3" xfId="2547" xr:uid="{00000000-0005-0000-0000-00002F100000}"/>
    <cellStyle name="Normal - スタイル4" xfId="2548" xr:uid="{00000000-0005-0000-0000-000030100000}"/>
    <cellStyle name="Normal - スタイル5" xfId="2549" xr:uid="{00000000-0005-0000-0000-000031100000}"/>
    <cellStyle name="Normal - スタイル6" xfId="2550" xr:uid="{00000000-0005-0000-0000-000032100000}"/>
    <cellStyle name="Normal - スタイル7" xfId="2551" xr:uid="{00000000-0005-0000-0000-000033100000}"/>
    <cellStyle name="Normal - スタイル8" xfId="2552" xr:uid="{00000000-0005-0000-0000-000034100000}"/>
    <cellStyle name="Normal!- Style1_全社運営組織 " xfId="2553" xr:uid="{00000000-0005-0000-0000-000035100000}"/>
    <cellStyle name="Normal!-!Style1" xfId="163" xr:uid="{00000000-0005-0000-0000-000036100000}"/>
    <cellStyle name="Normal_ SG&amp;A Bridge " xfId="2554" xr:uid="{00000000-0005-0000-0000-000037100000}"/>
    <cellStyle name="Note" xfId="2555" xr:uid="{00000000-0005-0000-0000-000038100000}"/>
    <cellStyle name="Note 2" xfId="4145" xr:uid="{00000000-0005-0000-0000-000039100000}"/>
    <cellStyle name="Number 0,000,[red](0,000)" xfId="2556" xr:uid="{00000000-0005-0000-0000-00003A100000}"/>
    <cellStyle name="-ȍ-ěčЈ" xfId="2557" xr:uid="{00000000-0005-0000-0000-00003B100000}"/>
    <cellStyle name="-ȍ-ěčЈ?ऌଃࠁ_x0004_Ȁ-ऌଃȁ-_x0001_⌀" xfId="2558" xr:uid="{00000000-0005-0000-0000-00003C100000}"/>
    <cellStyle name="oft Excel]_x000d__x000a_Options5=1155_x000d__x000a_Pos=-12,9,1048,771_x000d__x000a_MRUFuncs=345,205,221,1,65,28,37,24,3,36_x000d__x000a_StickyPtX=574_x000d__x000a_StickyPtY=45" xfId="4146" xr:uid="{00000000-0005-0000-0000-00003D100000}"/>
    <cellStyle name="OTA" xfId="4147" xr:uid="{00000000-0005-0000-0000-00003E100000}"/>
    <cellStyle name="Output" xfId="2559" xr:uid="{00000000-0005-0000-0000-00003F100000}"/>
    <cellStyle name="Output 2" xfId="4148" xr:uid="{00000000-0005-0000-0000-000040100000}"/>
    <cellStyle name="oux_4_pld$" xfId="164" xr:uid="{00000000-0005-0000-0000-000041100000}"/>
    <cellStyle name="_x001e_P" xfId="2560" xr:uid="{00000000-0005-0000-0000-000042100000}"/>
    <cellStyle name="_x001e_P?_ﾄﾗﾌﾞﾙ内容?_x0012_標準_ﾄﾗﾌﾞﾙ発生件数?_x0014_標準_ﾄﾗﾌﾞﾙ発生件数_1?b?_x000e_標準_ﾄﾗﾌﾞﾙ明細?_x0009_姫?_ﾌﾟﾛﾄ?_x0001__x0011_標準_ﾌﾟﾛﾄDATA (2)??_x0010_標準_ﾏｽﾀｰｽｹｼﾞｭｰﾙ?]_x0001__x000f_標準_ﾏｽﾀｽｹｼﾞｭｰﾙ?_x000a_b?_x0018_標準_ﾒｿﾞﾝ玄関ﾄﾞｱ鉛直荷重" xfId="2561" xr:uid="{00000000-0005-0000-0000-000043100000}"/>
    <cellStyle name="ParaBirimi [0]_RESULTS" xfId="2562" xr:uid="{00000000-0005-0000-0000-000044100000}"/>
    <cellStyle name="ParaBirimi_RESULTS" xfId="2563" xr:uid="{00000000-0005-0000-0000-000045100000}"/>
    <cellStyle name="Percent (0)" xfId="2564" xr:uid="{00000000-0005-0000-0000-000046100000}"/>
    <cellStyle name="Percent [0]" xfId="2565" xr:uid="{00000000-0005-0000-0000-000047100000}"/>
    <cellStyle name="Percent [0] 2" xfId="4149" xr:uid="{00000000-0005-0000-0000-000048100000}"/>
    <cellStyle name="Percent [0] 2 2" xfId="4150" xr:uid="{00000000-0005-0000-0000-000049100000}"/>
    <cellStyle name="Percent [0] 3" xfId="4151" xr:uid="{00000000-0005-0000-0000-00004A100000}"/>
    <cellStyle name="Percent [0] 3 2" xfId="4152" xr:uid="{00000000-0005-0000-0000-00004B100000}"/>
    <cellStyle name="Percent [0] 3 2 2" xfId="4153" xr:uid="{00000000-0005-0000-0000-00004C100000}"/>
    <cellStyle name="Percent [0] 3 3" xfId="4154" xr:uid="{00000000-0005-0000-0000-00004D100000}"/>
    <cellStyle name="Percent [0] 4" xfId="4155" xr:uid="{00000000-0005-0000-0000-00004E100000}"/>
    <cellStyle name="Percent [00]" xfId="2566" xr:uid="{00000000-0005-0000-0000-00004F100000}"/>
    <cellStyle name="Percent [2]" xfId="16" xr:uid="{00000000-0005-0000-0000-000050100000}"/>
    <cellStyle name="Percent [2] 2" xfId="2837" xr:uid="{00000000-0005-0000-0000-000051100000}"/>
    <cellStyle name="Percent![2]" xfId="2567" xr:uid="{00000000-0005-0000-0000-000052100000}"/>
    <cellStyle name="Percent_#6 Temps &amp; Contractors" xfId="2568" xr:uid="{00000000-0005-0000-0000-000053100000}"/>
    <cellStyle name="PERCENTAGE" xfId="165" xr:uid="{00000000-0005-0000-0000-000054100000}"/>
    <cellStyle name="PrePop Currency (0)" xfId="2569" xr:uid="{00000000-0005-0000-0000-000055100000}"/>
    <cellStyle name="PrePop Currency (0) 2" xfId="4156" xr:uid="{00000000-0005-0000-0000-000056100000}"/>
    <cellStyle name="PrePop Currency (0) 2 2" xfId="4157" xr:uid="{00000000-0005-0000-0000-000057100000}"/>
    <cellStyle name="PrePop Currency (0) 3" xfId="4158" xr:uid="{00000000-0005-0000-0000-000058100000}"/>
    <cellStyle name="PrePop Currency (0) 3 2" xfId="4159" xr:uid="{00000000-0005-0000-0000-000059100000}"/>
    <cellStyle name="PrePop Currency (0) 3 2 2" xfId="4160" xr:uid="{00000000-0005-0000-0000-00005A100000}"/>
    <cellStyle name="PrePop Currency (0) 3 3" xfId="4161" xr:uid="{00000000-0005-0000-0000-00005B100000}"/>
    <cellStyle name="PrePop Currency (0) 4" xfId="4162" xr:uid="{00000000-0005-0000-0000-00005C100000}"/>
    <cellStyle name="PrePop Currency (2)" xfId="2570" xr:uid="{00000000-0005-0000-0000-00005D100000}"/>
    <cellStyle name="PrePop Currency (2) 2" xfId="4163" xr:uid="{00000000-0005-0000-0000-00005E100000}"/>
    <cellStyle name="PrePop Currency (2) 2 2" xfId="4164" xr:uid="{00000000-0005-0000-0000-00005F100000}"/>
    <cellStyle name="PrePop Currency (2) 3" xfId="4165" xr:uid="{00000000-0005-0000-0000-000060100000}"/>
    <cellStyle name="PrePop Currency (2) 3 2" xfId="4166" xr:uid="{00000000-0005-0000-0000-000061100000}"/>
    <cellStyle name="PrePop Currency (2) 3 2 2" xfId="4167" xr:uid="{00000000-0005-0000-0000-000062100000}"/>
    <cellStyle name="PrePop Currency (2) 3 3" xfId="4168" xr:uid="{00000000-0005-0000-0000-000063100000}"/>
    <cellStyle name="PrePop Currency (2) 4" xfId="4169" xr:uid="{00000000-0005-0000-0000-000064100000}"/>
    <cellStyle name="PrePop Units (0)" xfId="2571" xr:uid="{00000000-0005-0000-0000-000065100000}"/>
    <cellStyle name="PrePop Units (0) 2" xfId="4170" xr:uid="{00000000-0005-0000-0000-000066100000}"/>
    <cellStyle name="PrePop Units (0) 2 2" xfId="4171" xr:uid="{00000000-0005-0000-0000-000067100000}"/>
    <cellStyle name="PrePop Units (0) 3" xfId="4172" xr:uid="{00000000-0005-0000-0000-000068100000}"/>
    <cellStyle name="PrePop Units (0) 3 2" xfId="4173" xr:uid="{00000000-0005-0000-0000-000069100000}"/>
    <cellStyle name="PrePop Units (0) 3 2 2" xfId="4174" xr:uid="{00000000-0005-0000-0000-00006A100000}"/>
    <cellStyle name="PrePop Units (0) 3 3" xfId="4175" xr:uid="{00000000-0005-0000-0000-00006B100000}"/>
    <cellStyle name="PrePop Units (0) 4" xfId="4176" xr:uid="{00000000-0005-0000-0000-00006C100000}"/>
    <cellStyle name="PrePop Units (1)" xfId="2572" xr:uid="{00000000-0005-0000-0000-00006D100000}"/>
    <cellStyle name="PrePop Units (2)" xfId="2573" xr:uid="{00000000-0005-0000-0000-00006E100000}"/>
    <cellStyle name="PrePop Units (2) 2" xfId="4177" xr:uid="{00000000-0005-0000-0000-00006F100000}"/>
    <cellStyle name="PrePop Units (2) 2 2" xfId="4178" xr:uid="{00000000-0005-0000-0000-000070100000}"/>
    <cellStyle name="PrePop Units (2) 3" xfId="4179" xr:uid="{00000000-0005-0000-0000-000071100000}"/>
    <cellStyle name="PrePop Units (2) 3 2" xfId="4180" xr:uid="{00000000-0005-0000-0000-000072100000}"/>
    <cellStyle name="PrePop Units (2) 3 2 2" xfId="4181" xr:uid="{00000000-0005-0000-0000-000073100000}"/>
    <cellStyle name="PrePop Units (2) 3 3" xfId="4182" xr:uid="{00000000-0005-0000-0000-000074100000}"/>
    <cellStyle name="PrePop Units (2) 4" xfId="4183" xr:uid="{00000000-0005-0000-0000-000075100000}"/>
    <cellStyle name="price" xfId="166" xr:uid="{00000000-0005-0000-0000-000076100000}"/>
    <cellStyle name="PSChar" xfId="167" xr:uid="{00000000-0005-0000-0000-000077100000}"/>
    <cellStyle name="PSDate" xfId="2574" xr:uid="{00000000-0005-0000-0000-000078100000}"/>
    <cellStyle name="PSDec" xfId="2575" xr:uid="{00000000-0005-0000-0000-000079100000}"/>
    <cellStyle name="PSHeading" xfId="168" xr:uid="{00000000-0005-0000-0000-00007A100000}"/>
    <cellStyle name="PSInt" xfId="2576" xr:uid="{00000000-0005-0000-0000-00007B100000}"/>
    <cellStyle name="PSSpacer" xfId="2577" xr:uid="{00000000-0005-0000-0000-00007C100000}"/>
    <cellStyle name="pwstyle" xfId="4184" xr:uid="{00000000-0005-0000-0000-00007D100000}"/>
    <cellStyle name="Q" xfId="169" xr:uid="{00000000-0005-0000-0000-00007E100000}"/>
    <cellStyle name="Q 2" xfId="2838" xr:uid="{00000000-0005-0000-0000-00007F100000}"/>
    <cellStyle name="Q 3" xfId="5316" xr:uid="{00000000-0005-0000-0000-000080100000}"/>
    <cellStyle name="Q_10" xfId="170" xr:uid="{00000000-0005-0000-0000-000081100000}"/>
    <cellStyle name="Q_10票" xfId="2578" xr:uid="{00000000-0005-0000-0000-000082100000}"/>
    <cellStyle name="Q_4M変更CDフロー" xfId="2579" xr:uid="{00000000-0005-0000-0000-000083100000}"/>
    <cellStyle name="Q_4M変更CDフロー_小島2丁目" xfId="2580" xr:uid="{00000000-0005-0000-0000-000084100000}"/>
    <cellStyle name="Q_4M変更CDフロー_小島町2丁目" xfId="2581" xr:uid="{00000000-0005-0000-0000-000085100000}"/>
    <cellStyle name="Q_AT640010" xfId="171" xr:uid="{00000000-0005-0000-0000-000086100000}"/>
    <cellStyle name="Q_ＢＺＴ－３３発注推移070222" xfId="2582" xr:uid="{00000000-0005-0000-0000-000087100000}"/>
    <cellStyle name="Q_コード一覧表" xfId="2583" xr:uid="{00000000-0005-0000-0000-000088100000}"/>
    <cellStyle name="Q_コード付与" xfId="2584" xr:uid="{00000000-0005-0000-0000-000089100000}"/>
    <cellStyle name="Q_標準化スケジュール" xfId="172" xr:uid="{00000000-0005-0000-0000-00008A100000}"/>
    <cellStyle name="Q_部品業務終息ﾌﾛｰ" xfId="2585" xr:uid="{00000000-0005-0000-0000-00008B100000}"/>
    <cellStyle name="Q_部品業務終息ﾌﾛｰ_小島2丁目" xfId="2586" xr:uid="{00000000-0005-0000-0000-00008C100000}"/>
    <cellStyle name="Q_部品業務終息ﾌﾛｰ_小島町2丁目" xfId="2587" xr:uid="{00000000-0005-0000-0000-00008D100000}"/>
    <cellStyle name="Q_変更依頼書" xfId="173" xr:uid="{00000000-0005-0000-0000-00008E100000}"/>
    <cellStyle name="Q_変更依頼書_10" xfId="174" xr:uid="{00000000-0005-0000-0000-00008F100000}"/>
    <cellStyle name="Q_変更依頼書_AT640010登録 (2)" xfId="175" xr:uid="{00000000-0005-0000-0000-000090100000}"/>
    <cellStyle name="Q_変更依頼書_アルミ額縁価格変更0603" xfId="176" xr:uid="{00000000-0005-0000-0000-000091100000}"/>
    <cellStyle name="Q_変更依頼書_変更(名称)依頼１０票" xfId="2588" xr:uid="{00000000-0005-0000-0000-000092100000}"/>
    <cellStyle name="Q_変更依頼書_変更依頼書 (2)" xfId="177" xr:uid="{00000000-0005-0000-0000-000093100000}"/>
    <cellStyle name="revised" xfId="178" xr:uid="{00000000-0005-0000-0000-000094100000}"/>
    <cellStyle name="rmal_PROD SALES by Region Pg 2" xfId="2589" xr:uid="{00000000-0005-0000-0000-000095100000}"/>
    <cellStyle name="RowLevel_0" xfId="2590" xr:uid="{00000000-0005-0000-0000-000096100000}"/>
    <cellStyle name="section" xfId="179" xr:uid="{00000000-0005-0000-0000-000097100000}"/>
    <cellStyle name="Style 1" xfId="2591" xr:uid="{00000000-0005-0000-0000-000098100000}"/>
    <cellStyle name="subhead" xfId="180" xr:uid="{00000000-0005-0000-0000-000099100000}"/>
    <cellStyle name="subhead 2" xfId="2839" xr:uid="{00000000-0005-0000-0000-00009A100000}"/>
    <cellStyle name="subject1" xfId="2592" xr:uid="{00000000-0005-0000-0000-00009B100000}"/>
    <cellStyle name="TEST" xfId="181" xr:uid="{00000000-0005-0000-0000-00009C100000}"/>
    <cellStyle name="Text Indent A" xfId="2593" xr:uid="{00000000-0005-0000-0000-00009D100000}"/>
    <cellStyle name="Text Indent B" xfId="2594" xr:uid="{00000000-0005-0000-0000-00009E100000}"/>
    <cellStyle name="Text Indent C" xfId="2595" xr:uid="{00000000-0005-0000-0000-00009F100000}"/>
    <cellStyle name="Text Indent C 2" xfId="4185" xr:uid="{00000000-0005-0000-0000-0000A0100000}"/>
    <cellStyle name="Text Indent C 2 2" xfId="4186" xr:uid="{00000000-0005-0000-0000-0000A1100000}"/>
    <cellStyle name="Text Indent C 3" xfId="4187" xr:uid="{00000000-0005-0000-0000-0000A2100000}"/>
    <cellStyle name="Text Indent C 3 2" xfId="4188" xr:uid="{00000000-0005-0000-0000-0000A3100000}"/>
    <cellStyle name="Text Indent C 3 2 2" xfId="4189" xr:uid="{00000000-0005-0000-0000-0000A4100000}"/>
    <cellStyle name="Text Indent C 3 3" xfId="4190" xr:uid="{00000000-0005-0000-0000-0000A5100000}"/>
    <cellStyle name="Text Indent C 4" xfId="4191" xr:uid="{00000000-0005-0000-0000-0000A6100000}"/>
    <cellStyle name="title" xfId="182" xr:uid="{00000000-0005-0000-0000-0000A7100000}"/>
    <cellStyle name="Total" xfId="183" xr:uid="{00000000-0005-0000-0000-0000A8100000}"/>
    <cellStyle name="Virg・ [0]_RESULTS" xfId="2596" xr:uid="{00000000-0005-0000-0000-0000A9100000}"/>
    <cellStyle name="Virg・_RESULTS" xfId="2597" xr:uid="{00000000-0005-0000-0000-0000AA100000}"/>
    <cellStyle name="Warning Text" xfId="2598" xr:uid="{00000000-0005-0000-0000-0000AB100000}"/>
    <cellStyle name="XLM" xfId="2599" xr:uid="{00000000-0005-0000-0000-0000AC100000}"/>
    <cellStyle name="XLM?b_x0017_Normal_mud plant bolted??_x000a_Normal_P&amp;L?_x0011_No" xfId="2600" xr:uid="{00000000-0005-0000-0000-0000AD100000}"/>
    <cellStyle name="あい" xfId="184" xr:uid="{00000000-0005-0000-0000-0000AE100000}"/>
    <cellStyle name="アクセント 1 2" xfId="2601" xr:uid="{00000000-0005-0000-0000-0000AF100000}"/>
    <cellStyle name="アクセント 1 2 2" xfId="2840" xr:uid="{00000000-0005-0000-0000-0000B0100000}"/>
    <cellStyle name="アクセント 2 2" xfId="2602" xr:uid="{00000000-0005-0000-0000-0000B1100000}"/>
    <cellStyle name="アクセント 2 2 2" xfId="2841" xr:uid="{00000000-0005-0000-0000-0000B2100000}"/>
    <cellStyle name="アクセント 3 2" xfId="2603" xr:uid="{00000000-0005-0000-0000-0000B3100000}"/>
    <cellStyle name="アクセント 3 2 2" xfId="2842" xr:uid="{00000000-0005-0000-0000-0000B4100000}"/>
    <cellStyle name="アクセント 4 2" xfId="2604" xr:uid="{00000000-0005-0000-0000-0000B5100000}"/>
    <cellStyle name="アクセント 4 2 2" xfId="2843" xr:uid="{00000000-0005-0000-0000-0000B6100000}"/>
    <cellStyle name="アクセント 5 2" xfId="2605" xr:uid="{00000000-0005-0000-0000-0000B7100000}"/>
    <cellStyle name="アクセント 5 2 2" xfId="2844" xr:uid="{00000000-0005-0000-0000-0000B8100000}"/>
    <cellStyle name="アクセント 6 2" xfId="2606" xr:uid="{00000000-0005-0000-0000-0000B9100000}"/>
    <cellStyle name="アクセント 6 2 2" xfId="2845" xr:uid="{00000000-0005-0000-0000-0000BA100000}"/>
    <cellStyle name="ｩ?・_x0007__x0014_" xfId="185" xr:uid="{00000000-0005-0000-0000-0000BB100000}"/>
    <cellStyle name="ｩ?・_x0007__x0014_ 2" xfId="2846" xr:uid="{00000000-0005-0000-0000-0000BC100000}"/>
    <cellStyle name="ｩ?・_x0007__x0014_ 2 2" xfId="4192" xr:uid="{00000000-0005-0000-0000-0000BD100000}"/>
    <cellStyle name="ｩ?・_x0007__x0014_ 2 2 2" xfId="4193" xr:uid="{00000000-0005-0000-0000-0000BE100000}"/>
    <cellStyle name="ｩ?・_x0007__x0014_ 2 2 2 2" xfId="4194" xr:uid="{00000000-0005-0000-0000-0000BF100000}"/>
    <cellStyle name="ｩ?・_x0007__x0014_ 2 2 3" xfId="4195" xr:uid="{00000000-0005-0000-0000-0000C0100000}"/>
    <cellStyle name="ｩ?・_x0007__x0014_ 2 2 3 2" xfId="4196" xr:uid="{00000000-0005-0000-0000-0000C1100000}"/>
    <cellStyle name="ｩ?・_x0007__x0014_ 2 2 3 2 2" xfId="4197" xr:uid="{00000000-0005-0000-0000-0000C2100000}"/>
    <cellStyle name="ｩ?・_x0007__x0014_ 2 2 3 3" xfId="4198" xr:uid="{00000000-0005-0000-0000-0000C3100000}"/>
    <cellStyle name="ｩ?・_x0007__x0014_ 2 2 4" xfId="4199" xr:uid="{00000000-0005-0000-0000-0000C4100000}"/>
    <cellStyle name="ｩ?・_x0007__x0014_ 2 3" xfId="4200" xr:uid="{00000000-0005-0000-0000-0000C5100000}"/>
    <cellStyle name="ｩ?・_x0007__x0014_ 3" xfId="4201" xr:uid="{00000000-0005-0000-0000-0000C6100000}"/>
    <cellStyle name="ｩ?・_x0007__x0014_ 4" xfId="5317" xr:uid="{00000000-0005-0000-0000-0000C7100000}"/>
    <cellStyle name="ｩ?・_x0007__x0014_ 4 2" xfId="6384" xr:uid="{00000000-0005-0000-0000-0000C8100000}"/>
    <cellStyle name="ｩ?・_x0007__x0014_ 5" xfId="5318" xr:uid="{00000000-0005-0000-0000-0000C9100000}"/>
    <cellStyle name="ｩ?・_x0007__x0014_ 5 2" xfId="6385" xr:uid="{00000000-0005-0000-0000-0000CA100000}"/>
    <cellStyle name="ｩ?・_x0007__x0014_ 6" xfId="5319" xr:uid="{00000000-0005-0000-0000-0000CB100000}"/>
    <cellStyle name="ｩ?・_x0007__x0014_ 6 2" xfId="6386" xr:uid="{00000000-0005-0000-0000-0000CC100000}"/>
    <cellStyle name="ｩ?・_x0007__x0014_ 7" xfId="5320" xr:uid="{00000000-0005-0000-0000-0000CD100000}"/>
    <cellStyle name="ｩ?・_x0007__x0014_ 7 2" xfId="6387" xr:uid="{00000000-0005-0000-0000-0000CE100000}"/>
    <cellStyle name="ｩ?・_x0007__x0014_?s のH_x0006__x000c_?^.xls_x0006__x0014_?NJI1.XLS?Tm_x0002__x000f_標準_JINJI2.XLS?_x0014_b?_x000f_標準_JINJI3.XLS?Jm_x0002__x000f_標準_JINJI4.XLS?_x0014_b?_x000f_標準_JINJI5.XLS?Tm_x0002__x000f_標準_JINJI6.XL" xfId="2607" xr:uid="{00000000-0005-0000-0000-0000CF100000}"/>
    <cellStyle name="うう" xfId="2608" xr:uid="{00000000-0005-0000-0000-0000D0100000}"/>
    <cellStyle name="うう 2" xfId="4202" xr:uid="{00000000-0005-0000-0000-0000D1100000}"/>
    <cellStyle name="ｵﾒﾁ｡ﾒﾃ爼ﾗ靉ﾁ篦ｧﾋﾅﾒﾂﾁﾔｵﾔ" xfId="186" xr:uid="{00000000-0005-0000-0000-0000D2100000}"/>
    <cellStyle name="ｵﾒﾁ｡ﾒﾃ爼ﾗ靉ﾁ篦ｧﾋﾅﾒﾂﾁﾔｵﾔ 2" xfId="4203" xr:uid="{00000000-0005-0000-0000-0000D3100000}"/>
    <cellStyle name="ｵﾒﾁ｡ﾒﾃ爼ﾗ靉ﾁ篦ｧﾋﾅﾒﾂﾁﾔｵﾔ 2 2" xfId="4204" xr:uid="{00000000-0005-0000-0000-0000D4100000}"/>
    <cellStyle name="ｵﾒﾁ｡ﾒﾃ爼ﾗ靉ﾁ篦ｧﾋﾅﾒﾂﾁﾔｵﾔ 3" xfId="4205" xr:uid="{00000000-0005-0000-0000-0000D5100000}"/>
    <cellStyle name="ｵﾒﾁ｡ﾒﾃ爼ﾗ靉ﾁ篦ｧﾋﾅﾒﾂﾁﾔｵﾔ 3 2" xfId="4206" xr:uid="{00000000-0005-0000-0000-0000D6100000}"/>
    <cellStyle name="カンマ" xfId="187" xr:uid="{00000000-0005-0000-0000-0000D7100000}"/>
    <cellStyle name="キログラムエフ" xfId="188" xr:uid="{00000000-0005-0000-0000-0000D8100000}"/>
    <cellStyle name="ｹ鮗ﾐﾀｲ_ｰ豼ｵﾁ･" xfId="189" xr:uid="{00000000-0005-0000-0000-0000D9100000}"/>
    <cellStyle name="ｻ｡ｵﾔ_AS-IF Short Plan 2002" xfId="190" xr:uid="{00000000-0005-0000-0000-0000DA100000}"/>
    <cellStyle name="スタイル 1" xfId="17" xr:uid="{00000000-0005-0000-0000-0000DB100000}"/>
    <cellStyle name="スタイル 1 2" xfId="2609" xr:uid="{00000000-0005-0000-0000-0000DC100000}"/>
    <cellStyle name="スタイル 1 3" xfId="191" xr:uid="{00000000-0005-0000-0000-0000DD100000}"/>
    <cellStyle name="スタイル 2" xfId="2610" xr:uid="{00000000-0005-0000-0000-0000DE100000}"/>
    <cellStyle name="スタイル 3" xfId="2611" xr:uid="{00000000-0005-0000-0000-0000DF100000}"/>
    <cellStyle name="スタイル 4" xfId="2612" xr:uid="{00000000-0005-0000-0000-0000E0100000}"/>
    <cellStyle name="スタイル 5" xfId="2613" xr:uid="{00000000-0005-0000-0000-0000E1100000}"/>
    <cellStyle name="スタイル 6" xfId="2614" xr:uid="{00000000-0005-0000-0000-0000E2100000}"/>
    <cellStyle name="スタイル 7" xfId="2615" xr:uid="{00000000-0005-0000-0000-0000E3100000}"/>
    <cellStyle name="スタイル 8" xfId="2616" xr:uid="{00000000-0005-0000-0000-0000E4100000}"/>
    <cellStyle name="スペース有" xfId="2617" xr:uid="{00000000-0005-0000-0000-0000E5100000}"/>
    <cellStyle name="スペース有１" xfId="2618" xr:uid="{00000000-0005-0000-0000-0000E6100000}"/>
    <cellStyle name="すぺしゃる" xfId="192" xr:uid="{00000000-0005-0000-0000-0000E7100000}"/>
    <cellStyle name="タイトル 2" xfId="2619" xr:uid="{00000000-0005-0000-0000-0000E8100000}"/>
    <cellStyle name="タイトル 2 2" xfId="2847" xr:uid="{00000000-0005-0000-0000-0000E9100000}"/>
    <cellStyle name="チェック セル 2" xfId="2620" xr:uid="{00000000-0005-0000-0000-0000EA100000}"/>
    <cellStyle name="チェック セル 2 2" xfId="2848" xr:uid="{00000000-0005-0000-0000-0000EB100000}"/>
    <cellStyle name="ﾂP" xfId="193" xr:uid="{00000000-0005-0000-0000-0000EC100000}"/>
    <cellStyle name="ﾂP 2" xfId="2849" xr:uid="{00000000-0005-0000-0000-0000ED100000}"/>
    <cellStyle name="ﾂP 2 2" xfId="4207" xr:uid="{00000000-0005-0000-0000-0000EE100000}"/>
    <cellStyle name="ﾂP 2 2 2" xfId="4208" xr:uid="{00000000-0005-0000-0000-0000EF100000}"/>
    <cellStyle name="ﾂP 2 2 2 2" xfId="4209" xr:uid="{00000000-0005-0000-0000-0000F0100000}"/>
    <cellStyle name="ﾂP 2 2 3" xfId="4210" xr:uid="{00000000-0005-0000-0000-0000F1100000}"/>
    <cellStyle name="ﾂP 2 2 3 2" xfId="4211" xr:uid="{00000000-0005-0000-0000-0000F2100000}"/>
    <cellStyle name="ﾂP 2 2 3 2 2" xfId="4212" xr:uid="{00000000-0005-0000-0000-0000F3100000}"/>
    <cellStyle name="ﾂP 2 2 3 3" xfId="4213" xr:uid="{00000000-0005-0000-0000-0000F4100000}"/>
    <cellStyle name="ﾂP 2 2 4" xfId="4214" xr:uid="{00000000-0005-0000-0000-0000F5100000}"/>
    <cellStyle name="ﾂP 2 3" xfId="4215" xr:uid="{00000000-0005-0000-0000-0000F6100000}"/>
    <cellStyle name="ﾂP 3" xfId="4216" xr:uid="{00000000-0005-0000-0000-0000F7100000}"/>
    <cellStyle name="ﾂP 4" xfId="5321" xr:uid="{00000000-0005-0000-0000-0000F8100000}"/>
    <cellStyle name="ﾂP 4 2" xfId="6388" xr:uid="{00000000-0005-0000-0000-0000F9100000}"/>
    <cellStyle name="ﾂP 5" xfId="5322" xr:uid="{00000000-0005-0000-0000-0000FA100000}"/>
    <cellStyle name="ﾂP 5 2" xfId="6389" xr:uid="{00000000-0005-0000-0000-0000FB100000}"/>
    <cellStyle name="ﾂP 6" xfId="5323" xr:uid="{00000000-0005-0000-0000-0000FC100000}"/>
    <cellStyle name="ﾂP 6 2" xfId="6390" xr:uid="{00000000-0005-0000-0000-0000FD100000}"/>
    <cellStyle name="ﾂP 7" xfId="5324" xr:uid="{00000000-0005-0000-0000-0000FE100000}"/>
    <cellStyle name="ﾂP 7 2" xfId="6391" xr:uid="{00000000-0005-0000-0000-0000FF100000}"/>
    <cellStyle name="ﾂP?_スケジュール (2)_2?躔_x0001__x0013_標準_スケジュール_1?鏃_x0001__x0018_標準_スケジュール_laroux?P?_x001e_標準_スケジュール_スケジュール?&quot;標準_スケジュール_スケジュール (2)?_x0018_標準_スケジュール_断" xfId="2621" xr:uid="{00000000-0005-0000-0000-000000110000}"/>
    <cellStyle name="ドキュメント標準" xfId="2622" xr:uid="{00000000-0005-0000-0000-000001110000}"/>
    <cellStyle name="ﾄﾞｸｶ [0]_ｰ霾ｹ" xfId="194" xr:uid="{00000000-0005-0000-0000-000002110000}"/>
    <cellStyle name="ﾄﾞｸｶ_ｰ霾ｹ" xfId="195" xr:uid="{00000000-0005-0000-0000-000003110000}"/>
    <cellStyle name="どちらでもない 2" xfId="2623" xr:uid="{00000000-0005-0000-0000-000004110000}"/>
    <cellStyle name="どちらでもない 2 2" xfId="2850" xr:uid="{00000000-0005-0000-0000-000005110000}"/>
    <cellStyle name="ﾄ褊褂燾・[0]_PERSONAL" xfId="2624" xr:uid="{00000000-0005-0000-0000-000006110000}"/>
    <cellStyle name="ﾄ褊褂燾饑PERSONAL" xfId="2625" xr:uid="{00000000-0005-0000-0000-000007110000}"/>
    <cellStyle name="ﾅ・ｭ [0]_ｰ霾ｹ" xfId="196" xr:uid="{00000000-0005-0000-0000-000008110000}"/>
    <cellStyle name="ﾅ・ｭ_ｰ霾ｹ" xfId="197" xr:uid="{00000000-0005-0000-0000-000009110000}"/>
    <cellStyle name="ﾇ･ﾁﾘ_ｰﾟﾀ﨣簔ﾘ" xfId="198" xr:uid="{00000000-0005-0000-0000-00000A110000}"/>
    <cellStyle name="ﾈｱ" xfId="2626" xr:uid="{00000000-0005-0000-0000-00000B110000}"/>
    <cellStyle name="ﾈｱ?pﾂﾜ?_x0002_???Xﾈｱ?pﾂﾜ?_x0002_???\ﾈｱ?pﾂﾜ?_x0002_???`ﾈｱ?pﾂﾜ?_x0002_???dﾈｱ?pﾂﾜ?_x0002_???_x001c_{_x0008_?mad?Bid?_x000f_Normal_Certs" xfId="2627" xr:uid="{00000000-0005-0000-0000-00000C110000}"/>
    <cellStyle name="ﾊﾟｰｾﾝﾄ" xfId="2628" xr:uid="{00000000-0005-0000-0000-00000D110000}"/>
    <cellStyle name="パーセント [0.0]" xfId="199" xr:uid="{00000000-0005-0000-0000-00000E110000}"/>
    <cellStyle name="パーセント [0.0] 2" xfId="2851" xr:uid="{00000000-0005-0000-0000-00000F110000}"/>
    <cellStyle name="パーセント [0.0] 2 2" xfId="5406" xr:uid="{00000000-0005-0000-0000-000010110000}"/>
    <cellStyle name="パーセント [0.0] 3" xfId="5385" xr:uid="{00000000-0005-0000-0000-000011110000}"/>
    <cellStyle name="パーセント 10" xfId="4217" xr:uid="{00000000-0005-0000-0000-000012110000}"/>
    <cellStyle name="パーセント 10 2" xfId="5417" xr:uid="{00000000-0005-0000-0000-000013110000}"/>
    <cellStyle name="パーセント 10 2 2" xfId="5882" xr:uid="{00000000-0005-0000-0000-000014110000}"/>
    <cellStyle name="パーセント 10 2 2 2" xfId="6592" xr:uid="{00000000-0005-0000-0000-000015110000}"/>
    <cellStyle name="パーセント 10 2 3" xfId="6448" xr:uid="{00000000-0005-0000-0000-000016110000}"/>
    <cellStyle name="パーセント 10 3" xfId="5810" xr:uid="{00000000-0005-0000-0000-000017110000}"/>
    <cellStyle name="パーセント 10 3 2" xfId="6520" xr:uid="{00000000-0005-0000-0000-000018110000}"/>
    <cellStyle name="パーセント 10 4" xfId="5954" xr:uid="{00000000-0005-0000-0000-000019110000}"/>
    <cellStyle name="パーセント 2" xfId="21" xr:uid="{00000000-0005-0000-0000-00001A110000}"/>
    <cellStyle name="パーセント 2 2" xfId="2629" xr:uid="{00000000-0005-0000-0000-00001B110000}"/>
    <cellStyle name="パーセント 2 3" xfId="200" xr:uid="{00000000-0005-0000-0000-00001C110000}"/>
    <cellStyle name="パーセント 3" xfId="201" xr:uid="{00000000-0005-0000-0000-00001D110000}"/>
    <cellStyle name="パーセント 3 2" xfId="202" xr:uid="{00000000-0005-0000-0000-00001E110000}"/>
    <cellStyle name="パーセント 4" xfId="203" xr:uid="{00000000-0005-0000-0000-00001F110000}"/>
    <cellStyle name="パーセント 4 2" xfId="4218" xr:uid="{00000000-0005-0000-0000-000020110000}"/>
    <cellStyle name="パーセント 4 2 2" xfId="4219" xr:uid="{00000000-0005-0000-0000-000021110000}"/>
    <cellStyle name="パーセント 4 3" xfId="4220" xr:uid="{00000000-0005-0000-0000-000022110000}"/>
    <cellStyle name="パーセント 5" xfId="204" xr:uid="{00000000-0005-0000-0000-000023110000}"/>
    <cellStyle name="パーセント 6" xfId="205" xr:uid="{00000000-0005-0000-0000-000024110000}"/>
    <cellStyle name="パーセント 7" xfId="206" xr:uid="{00000000-0005-0000-0000-000025110000}"/>
    <cellStyle name="パーセント 8" xfId="207" xr:uid="{00000000-0005-0000-0000-000026110000}"/>
    <cellStyle name="パーセント 9" xfId="208" xr:uid="{00000000-0005-0000-0000-000027110000}"/>
    <cellStyle name="パーセント![0.0]" xfId="209" xr:uid="{00000000-0005-0000-0000-000028110000}"/>
    <cellStyle name="パーセント![0.0] 2" xfId="4221" xr:uid="{00000000-0005-0000-0000-000029110000}"/>
    <cellStyle name="パーセント()" xfId="2630" xr:uid="{00000000-0005-0000-0000-00002A110000}"/>
    <cellStyle name="パーセント(0.00)" xfId="2631" xr:uid="{00000000-0005-0000-0000-00002B110000}"/>
    <cellStyle name="パーセント[0.00]" xfId="2632" xr:uid="{00000000-0005-0000-0000-00002C110000}"/>
    <cellStyle name="ﾊﾟｰｾﾝﾄ_070531ベル本報告" xfId="2633" xr:uid="{00000000-0005-0000-0000-00002D110000}"/>
    <cellStyle name="パーセント2" xfId="18" xr:uid="{00000000-0005-0000-0000-00002E110000}"/>
    <cellStyle name="パーセント2 2" xfId="2852" xr:uid="{00000000-0005-0000-0000-00002F110000}"/>
    <cellStyle name="パーセント2 2 2" xfId="4222" xr:uid="{00000000-0005-0000-0000-000030110000}"/>
    <cellStyle name="パーセント2 2 2 2" xfId="4223" xr:uid="{00000000-0005-0000-0000-000031110000}"/>
    <cellStyle name="パーセント2 2 2 2 2" xfId="4224" xr:uid="{00000000-0005-0000-0000-000032110000}"/>
    <cellStyle name="パーセント2 2 2 3" xfId="4225" xr:uid="{00000000-0005-0000-0000-000033110000}"/>
    <cellStyle name="パーセント2 2 2 3 2" xfId="4226" xr:uid="{00000000-0005-0000-0000-000034110000}"/>
    <cellStyle name="パーセント2 2 2 3 2 2" xfId="4227" xr:uid="{00000000-0005-0000-0000-000035110000}"/>
    <cellStyle name="パーセント2 2 2 3 3" xfId="4228" xr:uid="{00000000-0005-0000-0000-000036110000}"/>
    <cellStyle name="パーセント2 2 2 4" xfId="4229" xr:uid="{00000000-0005-0000-0000-000037110000}"/>
    <cellStyle name="パーセント2 2 3" xfId="4230" xr:uid="{00000000-0005-0000-0000-000038110000}"/>
    <cellStyle name="パーセント2 3" xfId="4231" xr:uid="{00000000-0005-0000-0000-000039110000}"/>
    <cellStyle name="パーセント2 4" xfId="5325" xr:uid="{00000000-0005-0000-0000-00003A110000}"/>
    <cellStyle name="パーセント2 4 2" xfId="6392" xr:uid="{00000000-0005-0000-0000-00003B110000}"/>
    <cellStyle name="パーセント2 5" xfId="5326" xr:uid="{00000000-0005-0000-0000-00003C110000}"/>
    <cellStyle name="パーセント2 5 2" xfId="6393" xr:uid="{00000000-0005-0000-0000-00003D110000}"/>
    <cellStyle name="パーセント2 6" xfId="5327" xr:uid="{00000000-0005-0000-0000-00003E110000}"/>
    <cellStyle name="パーセント2 6 2" xfId="6394" xr:uid="{00000000-0005-0000-0000-00003F110000}"/>
    <cellStyle name="パーセント2 7" xfId="5328" xr:uid="{00000000-0005-0000-0000-000040110000}"/>
    <cellStyle name="パーセント2 7 2" xfId="6395" xr:uid="{00000000-0005-0000-0000-000041110000}"/>
    <cellStyle name="パーセント2ook2-" xfId="210" xr:uid="{00000000-0005-0000-0000-000042110000}"/>
    <cellStyle name="ハイパーHンク" xfId="2634" xr:uid="{00000000-0005-0000-0000-000043110000}"/>
    <cellStyle name="ハイパーリメgク" xfId="211" xr:uid="{00000000-0005-0000-0000-000044110000}"/>
    <cellStyle name="ハイパーリンク_x0006_" xfId="2635" xr:uid="{00000000-0005-0000-0000-000045110000}"/>
    <cellStyle name="ハイパーリンク 2" xfId="19" xr:uid="{00000000-0005-0000-0000-000046110000}"/>
    <cellStyle name="ハイパーリンク 2 2" xfId="4232" xr:uid="{00000000-0005-0000-0000-000047110000}"/>
    <cellStyle name="ハイパーリンク 2 3" xfId="2636" xr:uid="{00000000-0005-0000-0000-000048110000}"/>
    <cellStyle name="ハイパーリンク 3" xfId="20" xr:uid="{00000000-0005-0000-0000-000049110000}"/>
    <cellStyle name="ハイパーリンク 3 2" xfId="2637" xr:uid="{00000000-0005-0000-0000-00004A110000}"/>
    <cellStyle name="ハイパーリンク 4" xfId="2638" xr:uid="{00000000-0005-0000-0000-00004B110000}"/>
    <cellStyle name="ハイパーリンク 5" xfId="2639" xr:uid="{00000000-0005-0000-0000-00004C110000}"/>
    <cellStyle name="ハイパーリンク 6" xfId="4233" xr:uid="{00000000-0005-0000-0000-00004D110000}"/>
    <cellStyle name="ハイパーリンク_x0006_???_x0007_?_x0014_" xfId="2640" xr:uid="{00000000-0005-0000-0000-00004E110000}"/>
    <cellStyle name="ハイパーリンクnkHyper" xfId="2641" xr:uid="{00000000-0005-0000-0000-00004F110000}"/>
    <cellStyle name="ハイパーリンクok2-Int" xfId="212" xr:uid="{00000000-0005-0000-0000-000050110000}"/>
    <cellStyle name="ハイパーリンクPAINT-6" xfId="213" xr:uid="{00000000-0005-0000-0000-000051110000}"/>
    <cellStyle name="ﾌ_x0004_" xfId="214" xr:uid="{00000000-0005-0000-0000-000052110000}"/>
    <cellStyle name="ﾌ_x0004_ 2" xfId="2853" xr:uid="{00000000-0005-0000-0000-000053110000}"/>
    <cellStyle name="ﾌ_x0004_ 2 2" xfId="4234" xr:uid="{00000000-0005-0000-0000-000054110000}"/>
    <cellStyle name="ﾌ_x0004_ 2 2 2" xfId="4235" xr:uid="{00000000-0005-0000-0000-000055110000}"/>
    <cellStyle name="ﾌ_x0004_ 2 2 2 2" xfId="4236" xr:uid="{00000000-0005-0000-0000-000056110000}"/>
    <cellStyle name="ﾌ_x0004_ 2 2 3" xfId="4237" xr:uid="{00000000-0005-0000-0000-000057110000}"/>
    <cellStyle name="ﾌ_x0004_ 2 2 3 2" xfId="4238" xr:uid="{00000000-0005-0000-0000-000058110000}"/>
    <cellStyle name="ﾌ_x0004_ 2 2 3 2 2" xfId="4239" xr:uid="{00000000-0005-0000-0000-000059110000}"/>
    <cellStyle name="ﾌ_x0004_ 2 2 3 3" xfId="4240" xr:uid="{00000000-0005-0000-0000-00005A110000}"/>
    <cellStyle name="ﾌ_x0004_ 2 2 4" xfId="4241" xr:uid="{00000000-0005-0000-0000-00005B110000}"/>
    <cellStyle name="ﾌ_x0004_ 2 3" xfId="4242" xr:uid="{00000000-0005-0000-0000-00005C110000}"/>
    <cellStyle name="ﾌ_x0004_ 3" xfId="4243" xr:uid="{00000000-0005-0000-0000-00005D110000}"/>
    <cellStyle name="ﾌ_x0004_ 4" xfId="5329" xr:uid="{00000000-0005-0000-0000-00005E110000}"/>
    <cellStyle name="ﾌ_x0004_ 4 2" xfId="6396" xr:uid="{00000000-0005-0000-0000-00005F110000}"/>
    <cellStyle name="ﾌ_x0004_ 5" xfId="5330" xr:uid="{00000000-0005-0000-0000-000060110000}"/>
    <cellStyle name="ﾌ_x0004_ 5 2" xfId="6397" xr:uid="{00000000-0005-0000-0000-000061110000}"/>
    <cellStyle name="ﾌ_x0004_ 6" xfId="5331" xr:uid="{00000000-0005-0000-0000-000062110000}"/>
    <cellStyle name="ﾌ_x0004_ 6 2" xfId="6398" xr:uid="{00000000-0005-0000-0000-000063110000}"/>
    <cellStyle name="ﾌ_x0004_ 7" xfId="5332" xr:uid="{00000000-0005-0000-0000-000064110000}"/>
    <cellStyle name="ﾌ_x0004_ 7 2" xfId="6399" xr:uid="{00000000-0005-0000-0000-000065110000}"/>
    <cellStyle name="ﾌ_x0004_?6第一回ＧＬｐｊ会議議事録.xls の変更内容を保存しますか?・_x0007__x0014_?s のH_x0006__x000c_?^.xls_x0006__x0014_?NJI1.XLS?Tm_x0002__x000f_標準_JINJI2.XLS?_x0014_b?_x000f_標準_JINJI3.XLS?Jm_x0002__x000f_標準_JINJI4.XLS?_x0014_b?_x000f_標準" xfId="2642" xr:uid="{00000000-0005-0000-0000-000066110000}"/>
    <cellStyle name="ﾍP" xfId="215" xr:uid="{00000000-0005-0000-0000-000067110000}"/>
    <cellStyle name="ﾍP 2" xfId="2854" xr:uid="{00000000-0005-0000-0000-000068110000}"/>
    <cellStyle name="ﾍP 2 2" xfId="4244" xr:uid="{00000000-0005-0000-0000-000069110000}"/>
    <cellStyle name="ﾍP 2 2 2" xfId="4245" xr:uid="{00000000-0005-0000-0000-00006A110000}"/>
    <cellStyle name="ﾍP 2 2 2 2" xfId="4246" xr:uid="{00000000-0005-0000-0000-00006B110000}"/>
    <cellStyle name="ﾍP 2 2 3" xfId="4247" xr:uid="{00000000-0005-0000-0000-00006C110000}"/>
    <cellStyle name="ﾍP 2 2 3 2" xfId="4248" xr:uid="{00000000-0005-0000-0000-00006D110000}"/>
    <cellStyle name="ﾍP 2 2 3 2 2" xfId="4249" xr:uid="{00000000-0005-0000-0000-00006E110000}"/>
    <cellStyle name="ﾍP 2 2 3 3" xfId="4250" xr:uid="{00000000-0005-0000-0000-00006F110000}"/>
    <cellStyle name="ﾍP 2 2 4" xfId="4251" xr:uid="{00000000-0005-0000-0000-000070110000}"/>
    <cellStyle name="ﾍP 2 3" xfId="4252" xr:uid="{00000000-0005-0000-0000-000071110000}"/>
    <cellStyle name="ﾍP 3" xfId="4253" xr:uid="{00000000-0005-0000-0000-000072110000}"/>
    <cellStyle name="ﾍP 4" xfId="5333" xr:uid="{00000000-0005-0000-0000-000073110000}"/>
    <cellStyle name="ﾍP 4 2" xfId="6400" xr:uid="{00000000-0005-0000-0000-000074110000}"/>
    <cellStyle name="ﾍP 5" xfId="5334" xr:uid="{00000000-0005-0000-0000-000075110000}"/>
    <cellStyle name="ﾍP 5 2" xfId="6401" xr:uid="{00000000-0005-0000-0000-000076110000}"/>
    <cellStyle name="ﾍP 6" xfId="5335" xr:uid="{00000000-0005-0000-0000-000077110000}"/>
    <cellStyle name="ﾍP 6 2" xfId="6402" xr:uid="{00000000-0005-0000-0000-000078110000}"/>
    <cellStyle name="ﾍP 7" xfId="5336" xr:uid="{00000000-0005-0000-0000-000079110000}"/>
    <cellStyle name="ﾍP 7 2" xfId="6403" xr:uid="{00000000-0005-0000-0000-00007A110000}"/>
    <cellStyle name="ﾍP!" xfId="216" xr:uid="{00000000-0005-0000-0000-00007B110000}"/>
    <cellStyle name="ﾍP! 2" xfId="4254" xr:uid="{00000000-0005-0000-0000-00007C110000}"/>
    <cellStyle name="ﾍP! 2 2" xfId="4255" xr:uid="{00000000-0005-0000-0000-00007D110000}"/>
    <cellStyle name="ﾍP! 2 2 2" xfId="4256" xr:uid="{00000000-0005-0000-0000-00007E110000}"/>
    <cellStyle name="ﾍP! 2 2 2 2" xfId="4257" xr:uid="{00000000-0005-0000-0000-00007F110000}"/>
    <cellStyle name="ﾍP! 2 2 3" xfId="4258" xr:uid="{00000000-0005-0000-0000-000080110000}"/>
    <cellStyle name="ﾍP! 2 2 3 2" xfId="4259" xr:uid="{00000000-0005-0000-0000-000081110000}"/>
    <cellStyle name="ﾍP! 2 2 3 2 2" xfId="4260" xr:uid="{00000000-0005-0000-0000-000082110000}"/>
    <cellStyle name="ﾍP! 2 2 3 3" xfId="4261" xr:uid="{00000000-0005-0000-0000-000083110000}"/>
    <cellStyle name="ﾍP! 2 2 4" xfId="4262" xr:uid="{00000000-0005-0000-0000-000084110000}"/>
    <cellStyle name="ﾍP! 2 3" xfId="4263" xr:uid="{00000000-0005-0000-0000-000085110000}"/>
    <cellStyle name="ﾍP! 3" xfId="4264" xr:uid="{00000000-0005-0000-0000-000086110000}"/>
    <cellStyle name="ﾍP?_小寺?_x0001__x000b_標準_小寺_1?_x0018_ _x0001__x0016_標準_障害（タンデム） ?_x0010_標準_常駐ﾃﾞｰﾀｴﾘｱ?b?_x0013_標準_P?報Ｓ管理業務?_x0001_b?_x000f_標準_情報Ｓ全体?・_x0001__x000e_標準_新ｽｹｼﾞｭ-ﾙ?tDPC_x0008_?･?_x000a__x0001_b?・:_x0001__x001a__x0001_b?_x0010_・_x0001_*_x0001_b?4・_x0001_:" xfId="2643" xr:uid="{00000000-0005-0000-0000-000087110000}"/>
    <cellStyle name="ﾎ磊隆_PERSONAL" xfId="2644" xr:uid="{00000000-0005-0000-0000-000088110000}"/>
    <cellStyle name="ﾒP" xfId="2645" xr:uid="{00000000-0005-0000-0000-000089110000}"/>
    <cellStyle name="メモ 2" xfId="2646" xr:uid="{00000000-0005-0000-0000-00008A110000}"/>
    <cellStyle name="メモ 2 2" xfId="2855" xr:uid="{00000000-0005-0000-0000-00008B110000}"/>
    <cellStyle name="ﾔ竟瑙糺・[0]_PERSONAL" xfId="2647" xr:uid="{00000000-0005-0000-0000-00008C110000}"/>
    <cellStyle name="ﾔ竟瑙糺饑PERSONAL" xfId="2648" xr:uid="{00000000-0005-0000-0000-00008D110000}"/>
    <cellStyle name="ライン別_表" xfId="217" xr:uid="{00000000-0005-0000-0000-00008E110000}"/>
    <cellStyle name="リンク セル 2" xfId="2649" xr:uid="{00000000-0005-0000-0000-00008F110000}"/>
    <cellStyle name="リンク セル 2 2" xfId="2856" xr:uid="{00000000-0005-0000-0000-000090110000}"/>
    <cellStyle name="ଃāἀ_x000f_Currency" xfId="2650" xr:uid="{00000000-0005-0000-0000-000091110000}"/>
    <cellStyle name="ଃāἀ_x000f_Currency 2" xfId="4265" xr:uid="{00000000-0005-0000-0000-000092110000}"/>
    <cellStyle name="เครืҬองหมายสกุลเงิน [0]_Monthly'01" xfId="2651" xr:uid="{00000000-0005-0000-0000-000093110000}"/>
    <cellStyle name="เครื่องหมายจุลภาค [0]_002 MTRP PLAN format" xfId="2652" xr:uid="{00000000-0005-0000-0000-000094110000}"/>
    <cellStyle name="เครื่องหมายจุลภาค![0]_Book1" xfId="2653" xr:uid="{00000000-0005-0000-0000-000095110000}"/>
    <cellStyle name="เครื่องหมายจุลภาค_002 MTRP PLAN format" xfId="2654" xr:uid="{00000000-0005-0000-0000-000096110000}"/>
    <cellStyle name="เครื่องหมายสกุลเงิน [0]_002 MTRP PLAN format" xfId="2655" xr:uid="{00000000-0005-0000-0000-000097110000}"/>
    <cellStyle name="เครื่องหมายสกุลเงิน![0]_Book1" xfId="2656" xr:uid="{00000000-0005-0000-0000-000098110000}"/>
    <cellStyle name="เครื่องหมายสกุลเงิน_002 MTRP PLAN format" xfId="2657" xr:uid="{00000000-0005-0000-0000-000099110000}"/>
    <cellStyle name="เชื่อมโยงหลายมิติ" xfId="2658" xr:uid="{00000000-0005-0000-0000-00009A110000}"/>
    <cellStyle name="–ข’่`" xfId="218" xr:uid="{00000000-0005-0000-0000-00009B110000}"/>
    <cellStyle name="ตามการเชื่อมโยงหลายมิติ" xfId="2659" xr:uid="{00000000-0005-0000-0000-00009C110000}"/>
    <cellStyle name="ปกติ_002 MTRP PLAN format" xfId="2660" xr:uid="{00000000-0005-0000-0000-00009D110000}"/>
    <cellStyle name="" xfId="219" xr:uid="{00000000-0005-0000-0000-00009E110000}"/>
    <cellStyle name="????_x0001_ﾄ_x0003_･?????潦｡???????????????_x0009_?????????_x0001_???????_x0001_???_x0001_???_x0001_???_x0001_???????????????????????????ｺ\.陵裘?M&amp;橡d2ﾙ?M&amp;橡d" xfId="2661" xr:uid="{00000000-0005-0000-0000-00009F110000}"/>
    <cellStyle name="" xfId="220" xr:uid="{00000000-0005-0000-0000-0000A0110000}"/>
    <cellStyle name="?_laroux_4_x0010_?_x0012_標準_laroux_4_pld$?_x0016_標準_laroux_4_開発計画?ｰ・?ル添付１?_x0001_b?_x000f_姫?_ビル添付２?花_x0001__x000f_標準_ビル添付３?_x0001_b?_x001d_標準_ピーク時伝送データ量試算??_x0017_標準_マスター、開発機_1?_x0001_b?_x000f_" xfId="2662" xr:uid="{00000000-0005-0000-0000-0000A1110000}"/>
    <cellStyle name="?_怮參DL" xfId="2663" xr:uid="{00000000-0005-0000-0000-0000A2110000}"/>
    <cellStyle name="_x001d_%・・・u_x0008_r_x0016_Q_x0017__x0007__x0001__x0001_" xfId="2664" xr:uid="{00000000-0005-0000-0000-0000A3110000}"/>
    <cellStyle name="_x001d_%・・・u_x0008_r_x0016_Q_x0017__x0007__x0001__x0001_ 2" xfId="5398" xr:uid="{00000000-0005-0000-0000-0000A4110000}"/>
    <cellStyle name="_x001d_%・・・u_x0008_r_x0016_Q_x0017__x0007__x0001__x0001_ 2 2" xfId="5867" xr:uid="{00000000-0005-0000-0000-0000A5110000}"/>
    <cellStyle name="_x001d_%・・・u_x0008_r_x0016_Q_x0017__x0007__x0001__x0001_ 2 2 2" xfId="6577" xr:uid="{00000000-0005-0000-0000-0000A6110000}"/>
    <cellStyle name="_x001d_%・・・u_x0008_r_x0016_Q_x0017__x0007__x0001__x0001_ 2 3" xfId="6433" xr:uid="{00000000-0005-0000-0000-0000A7110000}"/>
    <cellStyle name="_x001d_%・・・u_x0008_r_x0016_Q_x0017__x0007__x0001__x0001_ 3" xfId="5793" xr:uid="{00000000-0005-0000-0000-0000A8110000}"/>
    <cellStyle name="_x001d_%・・・u_x0008_r_x0016_Q_x0017__x0007__x0001__x0001_ 3 2" xfId="6505" xr:uid="{00000000-0005-0000-0000-0000A9110000}"/>
    <cellStyle name="_x001d_%・・・u_x0008_r_x0016_Q_x0017__x0007__x0001__x0001_ 4" xfId="5939" xr:uid="{00000000-0005-0000-0000-0000AA110000}"/>
    <cellStyle name="_x001d_%U・Hu_x0008__x0005__x0015_・_x0007__x0001__x0001_" xfId="2665" xr:uid="{00000000-0005-0000-0000-0000AB110000}"/>
    <cellStyle name="_x001d_%U・Hu_x0008_ﾕ_x0014_ｴ_x0015__x0007__x0001__x0001_" xfId="2666" xr:uid="{00000000-0005-0000-0000-0000AC110000}"/>
    <cellStyle name="_x001d_%U・Hu_x0008_ﾕ_x0014_ｴ_x0015__x0007__x0001__x0001_ 2" xfId="5399" xr:uid="{00000000-0005-0000-0000-0000AD110000}"/>
    <cellStyle name="_x001d_%U・Hu_x0008_ﾕ_x0014_ｴ_x0015__x0007__x0001__x0001_ 2 2" xfId="5868" xr:uid="{00000000-0005-0000-0000-0000AE110000}"/>
    <cellStyle name="_x001d_%U・Hu_x0008_ﾕ_x0014_ｴ_x0015__x0007__x0001__x0001_ 2 2 2" xfId="6578" xr:uid="{00000000-0005-0000-0000-0000AF110000}"/>
    <cellStyle name="_x001d_%U・Hu_x0008_ﾕ_x0014_ｴ_x0015__x0007__x0001__x0001_ 2 3" xfId="6434" xr:uid="{00000000-0005-0000-0000-0000B0110000}"/>
    <cellStyle name="_x001d_%U・Hu_x0008_ﾕ_x0014_ｴ_x0015__x0007__x0001__x0001_ 3" xfId="5794" xr:uid="{00000000-0005-0000-0000-0000B1110000}"/>
    <cellStyle name="_x001d_%U・Hu_x0008_ﾕ_x0014_ｴ_x0015__x0007__x0001__x0001_ 3 2" xfId="6506" xr:uid="{00000000-0005-0000-0000-0000B2110000}"/>
    <cellStyle name="_x001d_%U・Hu_x0008_ﾕ_x0014_ｴ_x0015__x0007__x0001__x0001_ 4" xfId="5940" xr:uid="{00000000-0005-0000-0000-0000B3110000}"/>
    <cellStyle name="_x001d_%U・Hu_x0008_ﾕ_x0014_ｴ_x0015__x0007__x0001__x0001_?_x0002__x0001_(_x0002_ｻ_x0019_???・????_x0007__x000a_??????????????ﾍ!ﾋ??????????           ?????           ?????????_x000d_c:\win95\country.sys_x000d_????????????????????????????????????????????????????????????????????????????????????????????????" xfId="2667" xr:uid="{00000000-0005-0000-0000-0000B4110000}"/>
    <cellStyle name="_x001d_%・・}9_x0008_ﾜ_x0013_ｺ_x0014__x0007__x0001__x0001_" xfId="2668" xr:uid="{00000000-0005-0000-0000-0000B5110000}"/>
    <cellStyle name="P" xfId="221" xr:uid="{00000000-0005-0000-0000-0000B6110000}"/>
    <cellStyle name="P 2" xfId="2857" xr:uid="{00000000-0005-0000-0000-0000B7110000}"/>
    <cellStyle name="P 3" xfId="5337" xr:uid="{00000000-0005-0000-0000-0000B8110000}"/>
    <cellStyle name="P!" xfId="2669" xr:uid="{00000000-0005-0000-0000-0000B9110000}"/>
    <cellStyle name="P?_仕事直接?・標準_仕訳検索?1_x000e_標準_支払ｽｹｼﾞﾙ?_x0010_標準_支払ﾃｰﾏ進捗?P_x0004__x0013_標準_支払P?Ｊ進捗  ?ブ・標準_支払トラ?1_x000f_標準_支払フロー?グ・標準_支払処理運用フロー?ブ・標準_支払処理運用フロー_1?・標準_事務効率?h_x000f_" xfId="2670" xr:uid="{00000000-0005-0000-0000-0000BA110000}"/>
    <cellStyle name="P_(片引LR)" xfId="2671" xr:uid="{00000000-0005-0000-0000-0000BB110000}"/>
    <cellStyle name="" xfId="2672" xr:uid="{00000000-0005-0000-0000-0000BC110000}"/>
    <cellStyle name="悪い 2" xfId="2673" xr:uid="{00000000-0005-0000-0000-0000BD110000}"/>
    <cellStyle name="悪い 2 2" xfId="2858" xr:uid="{00000000-0005-0000-0000-0000BE110000}"/>
    <cellStyle name="異種鋼材を識別できること" xfId="222" xr:uid="{00000000-0005-0000-0000-0000BF110000}"/>
    <cellStyle name="円" xfId="223" xr:uid="{00000000-0005-0000-0000-0000C0110000}"/>
    <cellStyle name="円_《PL枠》12年度目指すべき姿" xfId="2674" xr:uid="{00000000-0005-0000-0000-0000C1110000}"/>
    <cellStyle name="円_《PL枠》12年度目指すべき姿_目指す姿フォーマット" xfId="2675" xr:uid="{00000000-0005-0000-0000-0000C2110000}"/>
    <cellStyle name="円_《ベルスク２》12年度目指すべき姿" xfId="2676" xr:uid="{00000000-0005-0000-0000-0000C3110000}"/>
    <cellStyle name="円_《ベルスク２》12年度目指すべき姿_目指す姿フォーマット" xfId="2677" xr:uid="{00000000-0005-0000-0000-0000C4110000}"/>
    <cellStyle name="円_【プレナス枠】12年度ベクトル会" xfId="2678" xr:uid="{00000000-0005-0000-0000-0000C5110000}"/>
    <cellStyle name="円_12年度本部長診断現場報告ドア枠" xfId="2679" xr:uid="{00000000-0005-0000-0000-0000C6110000}"/>
    <cellStyle name="円_12年度本部長診断現場報告ドア枠_目指す姿フォーマット" xfId="2680" xr:uid="{00000000-0005-0000-0000-0000C7110000}"/>
    <cellStyle name="円_13年度上期生産性計画" xfId="2681" xr:uid="{00000000-0005-0000-0000-0000C8110000}"/>
    <cellStyle name="円_13年度反省書(SR係)" xfId="2682" xr:uid="{00000000-0005-0000-0000-0000C9110000}"/>
    <cellStyle name="円_2012年度 保全担当者資料" xfId="2683" xr:uid="{00000000-0005-0000-0000-0000CA110000}"/>
    <cellStyle name="円_Book1" xfId="2684" xr:uid="{00000000-0005-0000-0000-0000CB110000}"/>
    <cellStyle name="円_Book1_目指す姿フォーマット" xfId="2685" xr:uid="{00000000-0005-0000-0000-0000CC110000}"/>
    <cellStyle name="円_FA" xfId="2686" xr:uid="{00000000-0005-0000-0000-0000CD110000}"/>
    <cellStyle name="円_Ｈ改善ＳＨ" xfId="2687" xr:uid="{00000000-0005-0000-0000-0000CE110000}"/>
    <cellStyle name="円_SK狙いの姿PART4" xfId="2688" xr:uid="{00000000-0005-0000-0000-0000CF110000}"/>
    <cellStyle name="円_TOPS実践スケジュール（土浦_K" xfId="2689" xr:uid="{00000000-0005-0000-0000-0000D0110000}"/>
    <cellStyle name="円_ライン改善実践治具【２０１１0524改訂版】" xfId="2690" xr:uid="{00000000-0005-0000-0000-0000D1110000}"/>
    <cellStyle name="円_リシェントＴＯＰＳ" xfId="2691" xr:uid="{00000000-0005-0000-0000-0000D2110000}"/>
    <cellStyle name="円_リシェントＴＯＰＳ_目指す姿フォーマット" xfId="2692" xr:uid="{00000000-0005-0000-0000-0000D3110000}"/>
    <cellStyle name="円_改善シート原紙(2009年度版)" xfId="2693" xr:uid="{00000000-0005-0000-0000-0000D4110000}"/>
    <cellStyle name="円_活動内容(13年振返り14年進め方）" xfId="2694" xr:uid="{00000000-0005-0000-0000-0000D5110000}"/>
    <cellStyle name="円_工場長診断ドア" xfId="2695" xr:uid="{00000000-0005-0000-0000-0000D6110000}"/>
    <cellStyle name="円_設技12-004" xfId="2696" xr:uid="{00000000-0005-0000-0000-0000D7110000}"/>
    <cellStyle name="円_本部長診断会ドア" xfId="2697" xr:uid="{00000000-0005-0000-0000-0000D8110000}"/>
    <cellStyle name="価格桁区切り" xfId="4266" xr:uid="{00000000-0005-0000-0000-0000D9110000}"/>
    <cellStyle name="画" xfId="224" xr:uid="{00000000-0005-0000-0000-0000DA110000}"/>
    <cellStyle name="画?ｰ・?ル添付１?_x0001_b?_x000f_姫?_ビル添付２?花_x0001__x000f_標準_ビル添付３?_x0001_b?_x001d_標準_ピーク時伝送データ量試算??_x0017_標準_マスター、開発機_1?_x0001_b" xfId="2698" xr:uid="{00000000-0005-0000-0000-0000DB110000}"/>
    <cellStyle name="解释性文本" xfId="2699" xr:uid="{00000000-0005-0000-0000-0000DC110000}"/>
    <cellStyle name="解释性文本 2" xfId="4267" xr:uid="{00000000-0005-0000-0000-0000DD110000}"/>
    <cellStyle name="解释性文本 2 2" xfId="4268" xr:uid="{00000000-0005-0000-0000-0000DE110000}"/>
    <cellStyle name="解释性文本 2 2 2" xfId="4269" xr:uid="{00000000-0005-0000-0000-0000DF110000}"/>
    <cellStyle name="解释性文本 2 2 2 2" xfId="4270" xr:uid="{00000000-0005-0000-0000-0000E0110000}"/>
    <cellStyle name="解释性文本 2 2 2 3" xfId="4271" xr:uid="{00000000-0005-0000-0000-0000E1110000}"/>
    <cellStyle name="解释性文本 2 2 3" xfId="4272" xr:uid="{00000000-0005-0000-0000-0000E2110000}"/>
    <cellStyle name="解释性文本 2 3" xfId="4273" xr:uid="{00000000-0005-0000-0000-0000E3110000}"/>
    <cellStyle name="解释性文本 2 3 2" xfId="4274" xr:uid="{00000000-0005-0000-0000-0000E4110000}"/>
    <cellStyle name="解释性文本 2 3 3" xfId="4275" xr:uid="{00000000-0005-0000-0000-0000E5110000}"/>
    <cellStyle name="解释性文本 2 4" xfId="4276" xr:uid="{00000000-0005-0000-0000-0000E6110000}"/>
    <cellStyle name="解释性文本 3" xfId="4277" xr:uid="{00000000-0005-0000-0000-0000E7110000}"/>
    <cellStyle name="解释性文本 3 2" xfId="4278" xr:uid="{00000000-0005-0000-0000-0000E8110000}"/>
    <cellStyle name="解释性文本 3 3" xfId="4279" xr:uid="{00000000-0005-0000-0000-0000E9110000}"/>
    <cellStyle name="解释性文本 4" xfId="4280" xr:uid="{00000000-0005-0000-0000-0000EA110000}"/>
    <cellStyle name="回路" xfId="2700" xr:uid="{00000000-0005-0000-0000-0000EB110000}"/>
    <cellStyle name="格子付" xfId="4281" xr:uid="{00000000-0005-0000-0000-0000EC110000}"/>
    <cellStyle name="型番" xfId="39" xr:uid="{00000000-0005-0000-0000-0000ED110000}"/>
    <cellStyle name="型番 2" xfId="2859" xr:uid="{00000000-0005-0000-0000-0000EE110000}"/>
    <cellStyle name="慶出ｃﾊ" xfId="2701" xr:uid="{00000000-0005-0000-0000-0000EF110000}"/>
    <cellStyle name="計算 2" xfId="2702" xr:uid="{00000000-0005-0000-0000-0000F0110000}"/>
    <cellStyle name="計算 2 2" xfId="2860" xr:uid="{00000000-0005-0000-0000-0000F1110000}"/>
    <cellStyle name="計算値" xfId="225" xr:uid="{00000000-0005-0000-0000-0000F2110000}"/>
    <cellStyle name="警告文 2" xfId="2703" xr:uid="{00000000-0005-0000-0000-0000F3110000}"/>
    <cellStyle name="警告文 2 2" xfId="2861" xr:uid="{00000000-0005-0000-0000-0000F4110000}"/>
    <cellStyle name="警告文本" xfId="2704" xr:uid="{00000000-0005-0000-0000-0000F5110000}"/>
    <cellStyle name="警告文本 2" xfId="4282" xr:uid="{00000000-0005-0000-0000-0000F6110000}"/>
    <cellStyle name="警告文本 2 2" xfId="4283" xr:uid="{00000000-0005-0000-0000-0000F7110000}"/>
    <cellStyle name="警告文本 2 2 2" xfId="4284" xr:uid="{00000000-0005-0000-0000-0000F8110000}"/>
    <cellStyle name="警告文本 2 2 2 2" xfId="4285" xr:uid="{00000000-0005-0000-0000-0000F9110000}"/>
    <cellStyle name="警告文本 2 2 2 3" xfId="4286" xr:uid="{00000000-0005-0000-0000-0000FA110000}"/>
    <cellStyle name="警告文本 2 2 3" xfId="4287" xr:uid="{00000000-0005-0000-0000-0000FB110000}"/>
    <cellStyle name="警告文本 2 3" xfId="4288" xr:uid="{00000000-0005-0000-0000-0000FC110000}"/>
    <cellStyle name="警告文本 2 3 2" xfId="4289" xr:uid="{00000000-0005-0000-0000-0000FD110000}"/>
    <cellStyle name="警告文本 2 3 3" xfId="4290" xr:uid="{00000000-0005-0000-0000-0000FE110000}"/>
    <cellStyle name="警告文本 2 4" xfId="4291" xr:uid="{00000000-0005-0000-0000-0000FF110000}"/>
    <cellStyle name="警告文本 3" xfId="4292" xr:uid="{00000000-0005-0000-0000-000000120000}"/>
    <cellStyle name="警告文本 3 2" xfId="4293" xr:uid="{00000000-0005-0000-0000-000001120000}"/>
    <cellStyle name="警告文本 3 3" xfId="4294" xr:uid="{00000000-0005-0000-0000-000002120000}"/>
    <cellStyle name="警告文本 4" xfId="4295" xr:uid="{00000000-0005-0000-0000-000003120000}"/>
    <cellStyle name="戟c・・・ [0.00]_・データ" xfId="2705" xr:uid="{00000000-0005-0000-0000-000004120000}"/>
    <cellStyle name="戟c・・・![0.00]_laroux" xfId="2706" xr:uid="{00000000-0005-0000-0000-000005120000}"/>
    <cellStyle name="戟c・・・_’?・工吹h(・?縁・" xfId="226" xr:uid="{00000000-0005-0000-0000-000006120000}"/>
    <cellStyle name="桁・・・ [0.00]_3.99~8.99" xfId="227" xr:uid="{00000000-0005-0000-0000-000007120000}"/>
    <cellStyle name="桁・・・![0.00]_3.99~8.99" xfId="2707" xr:uid="{00000000-0005-0000-0000-000008120000}"/>
    <cellStyle name="桁・・・_・・工数(・負除)" xfId="228" xr:uid="{00000000-0005-0000-0000-000009120000}"/>
    <cellStyle name="桁蟻唇" xfId="2708" xr:uid="{00000000-0005-0000-0000-00000A120000}"/>
    <cellStyle name="桁蟻唇Ｆ" xfId="2709" xr:uid="{00000000-0005-0000-0000-00000B120000}"/>
    <cellStyle name="桁蟻唇Ｆ [0.00]_ Badget Plan-actual" xfId="229" xr:uid="{00000000-0005-0000-0000-00000C120000}"/>
    <cellStyle name="桁蟻唇Ｆ_ Badget Plan-actual" xfId="230" xr:uid="{00000000-0005-0000-0000-00000D120000}"/>
    <cellStyle name="桁区切り [0.0%]" xfId="231" xr:uid="{00000000-0005-0000-0000-00000E120000}"/>
    <cellStyle name="桁区切り [0.0]" xfId="232" xr:uid="{00000000-0005-0000-0000-00000F120000}"/>
    <cellStyle name="桁区切り [0.0] 2" xfId="4296" xr:uid="{00000000-0005-0000-0000-000010120000}"/>
    <cellStyle name="桁区切り [0.0] 2 2" xfId="4297" xr:uid="{00000000-0005-0000-0000-000011120000}"/>
    <cellStyle name="桁区切り [0.0] 2 2 2" xfId="4298" xr:uid="{00000000-0005-0000-0000-000012120000}"/>
    <cellStyle name="桁区切り [0.0] 2 2 2 2" xfId="4299" xr:uid="{00000000-0005-0000-0000-000013120000}"/>
    <cellStyle name="桁区切り [0.0] 2 2 3" xfId="4300" xr:uid="{00000000-0005-0000-0000-000014120000}"/>
    <cellStyle name="桁区切り [0.0] 2 2 3 2" xfId="4301" xr:uid="{00000000-0005-0000-0000-000015120000}"/>
    <cellStyle name="桁区切り [0.0] 2 2 3 2 2" xfId="4302" xr:uid="{00000000-0005-0000-0000-000016120000}"/>
    <cellStyle name="桁区切り [0.0] 2 2 3 3" xfId="4303" xr:uid="{00000000-0005-0000-0000-000017120000}"/>
    <cellStyle name="桁区切り [0.0] 2 2 4" xfId="4304" xr:uid="{00000000-0005-0000-0000-000018120000}"/>
    <cellStyle name="桁区切り [0.0] 2 3" xfId="4305" xr:uid="{00000000-0005-0000-0000-000019120000}"/>
    <cellStyle name="桁区切り [0.0] 3" xfId="4306" xr:uid="{00000000-0005-0000-0000-00001A120000}"/>
    <cellStyle name="桁区切り [0.00] 2" xfId="2862" xr:uid="{00000000-0005-0000-0000-00001B120000}"/>
    <cellStyle name="桁区切り [0.00] 2 2" xfId="5338" xr:uid="{00000000-0005-0000-0000-00001C120000}"/>
    <cellStyle name="桁区切り [0.00] 2 3" xfId="5339" xr:uid="{00000000-0005-0000-0000-00001D120000}"/>
    <cellStyle name="桁区切り [0.00] 3" xfId="2863" xr:uid="{00000000-0005-0000-0000-00001E120000}"/>
    <cellStyle name="桁区切り [0.00] 3 2" xfId="5340" xr:uid="{00000000-0005-0000-0000-00001F120000}"/>
    <cellStyle name="桁区切り [0.00] 3 2 2" xfId="5458" xr:uid="{00000000-0005-0000-0000-000020120000}"/>
    <cellStyle name="桁区切り [0.00] 3 2 2 2" xfId="5923" xr:uid="{00000000-0005-0000-0000-000021120000}"/>
    <cellStyle name="桁区切り [0.00] 3 2 2 2 2" xfId="6633" xr:uid="{00000000-0005-0000-0000-000022120000}"/>
    <cellStyle name="桁区切り [0.00] 3 2 2 3" xfId="6489" xr:uid="{00000000-0005-0000-0000-000023120000}"/>
    <cellStyle name="桁区切り [0.00] 3 2 3" xfId="5851" xr:uid="{00000000-0005-0000-0000-000024120000}"/>
    <cellStyle name="桁区切り [0.00] 3 2 3 2" xfId="6561" xr:uid="{00000000-0005-0000-0000-000025120000}"/>
    <cellStyle name="桁区切り [0.00] 3 2 4" xfId="6404" xr:uid="{00000000-0005-0000-0000-000026120000}"/>
    <cellStyle name="桁区切り [0.00] 3 3" xfId="5407" xr:uid="{00000000-0005-0000-0000-000027120000}"/>
    <cellStyle name="桁区切り [0.00] 3 3 2" xfId="5873" xr:uid="{00000000-0005-0000-0000-000028120000}"/>
    <cellStyle name="桁区切り [0.00] 3 3 2 2" xfId="6583" xr:uid="{00000000-0005-0000-0000-000029120000}"/>
    <cellStyle name="桁区切り [0.00] 3 3 3" xfId="6439" xr:uid="{00000000-0005-0000-0000-00002A120000}"/>
    <cellStyle name="桁区切り [0.00] 3 4" xfId="5799" xr:uid="{00000000-0005-0000-0000-00002B120000}"/>
    <cellStyle name="桁区切り [0.00] 3 4 2" xfId="6511" xr:uid="{00000000-0005-0000-0000-00002C120000}"/>
    <cellStyle name="桁区切り [0.00] 3 5" xfId="5945" xr:uid="{00000000-0005-0000-0000-00002D120000}"/>
    <cellStyle name="桁区切り [0.00] 4" xfId="5341" xr:uid="{00000000-0005-0000-0000-00002E120000}"/>
    <cellStyle name="桁区切り [0.00] 5" xfId="5342" xr:uid="{00000000-0005-0000-0000-00002F120000}"/>
    <cellStyle name="桁区切り [0.00] 5 2" xfId="5459" xr:uid="{00000000-0005-0000-0000-000030120000}"/>
    <cellStyle name="桁区切り [0.00] 5 2 2" xfId="5924" xr:uid="{00000000-0005-0000-0000-000031120000}"/>
    <cellStyle name="桁区切り [0.00] 5 2 2 2" xfId="6634" xr:uid="{00000000-0005-0000-0000-000032120000}"/>
    <cellStyle name="桁区切り [0.00] 5 2 3" xfId="6490" xr:uid="{00000000-0005-0000-0000-000033120000}"/>
    <cellStyle name="桁区切り [0.00] 5 3" xfId="5852" xr:uid="{00000000-0005-0000-0000-000034120000}"/>
    <cellStyle name="桁区切り [0.00] 5 3 2" xfId="6562" xr:uid="{00000000-0005-0000-0000-000035120000}"/>
    <cellStyle name="桁区切り [0.00] 5 4" xfId="6405" xr:uid="{00000000-0005-0000-0000-000036120000}"/>
    <cellStyle name="桁区切り [0.00] 6" xfId="5382" xr:uid="{00000000-0005-0000-0000-000037120000}"/>
    <cellStyle name="桁区切り 10" xfId="233" xr:uid="{00000000-0005-0000-0000-000038120000}"/>
    <cellStyle name="桁区切り 11" xfId="2876" xr:uid="{00000000-0005-0000-0000-000039120000}"/>
    <cellStyle name="桁区切り 11 2" xfId="5408" xr:uid="{00000000-0005-0000-0000-00003A120000}"/>
    <cellStyle name="桁区切り 11 2 2" xfId="5874" xr:uid="{00000000-0005-0000-0000-00003B120000}"/>
    <cellStyle name="桁区切り 11 2 2 2" xfId="6584" xr:uid="{00000000-0005-0000-0000-00003C120000}"/>
    <cellStyle name="桁区切り 11 2 3" xfId="6440" xr:uid="{00000000-0005-0000-0000-00003D120000}"/>
    <cellStyle name="桁区切り 11 3" xfId="5800" xr:uid="{00000000-0005-0000-0000-00003E120000}"/>
    <cellStyle name="桁区切り 11 3 2" xfId="6512" xr:uid="{00000000-0005-0000-0000-00003F120000}"/>
    <cellStyle name="桁区切り 11 4" xfId="5946" xr:uid="{00000000-0005-0000-0000-000040120000}"/>
    <cellStyle name="桁区切り 12" xfId="2888" xr:uid="{00000000-0005-0000-0000-000041120000}"/>
    <cellStyle name="桁区切り 12 2" xfId="5409" xr:uid="{00000000-0005-0000-0000-000042120000}"/>
    <cellStyle name="桁区切り 12 2 2" xfId="5875" xr:uid="{00000000-0005-0000-0000-000043120000}"/>
    <cellStyle name="桁区切り 12 2 2 2" xfId="6585" xr:uid="{00000000-0005-0000-0000-000044120000}"/>
    <cellStyle name="桁区切り 12 2 3" xfId="6441" xr:uid="{00000000-0005-0000-0000-000045120000}"/>
    <cellStyle name="桁区切り 12 3" xfId="5801" xr:uid="{00000000-0005-0000-0000-000046120000}"/>
    <cellStyle name="桁区切り 12 3 2" xfId="6513" xr:uid="{00000000-0005-0000-0000-000047120000}"/>
    <cellStyle name="桁区切り 12 4" xfId="5947" xr:uid="{00000000-0005-0000-0000-000048120000}"/>
    <cellStyle name="桁区切り 13" xfId="48" xr:uid="{00000000-0005-0000-0000-000049120000}"/>
    <cellStyle name="桁区切り 14" xfId="5343" xr:uid="{00000000-0005-0000-0000-00004A120000}"/>
    <cellStyle name="桁区切り 14 2" xfId="5460" xr:uid="{00000000-0005-0000-0000-00004B120000}"/>
    <cellStyle name="桁区切り 14 2 2" xfId="5925" xr:uid="{00000000-0005-0000-0000-00004C120000}"/>
    <cellStyle name="桁区切り 14 2 2 2" xfId="6635" xr:uid="{00000000-0005-0000-0000-00004D120000}"/>
    <cellStyle name="桁区切り 14 2 3" xfId="6491" xr:uid="{00000000-0005-0000-0000-00004E120000}"/>
    <cellStyle name="桁区切り 14 3" xfId="5853" xr:uid="{00000000-0005-0000-0000-00004F120000}"/>
    <cellStyle name="桁区切り 14 3 2" xfId="6563" xr:uid="{00000000-0005-0000-0000-000050120000}"/>
    <cellStyle name="桁区切り 14 4" xfId="6406" xr:uid="{00000000-0005-0000-0000-000051120000}"/>
    <cellStyle name="桁区切り 15" xfId="5344" xr:uid="{00000000-0005-0000-0000-000052120000}"/>
    <cellStyle name="桁区切り 15 2" xfId="5461" xr:uid="{00000000-0005-0000-0000-000053120000}"/>
    <cellStyle name="桁区切り 15 2 2" xfId="5926" xr:uid="{00000000-0005-0000-0000-000054120000}"/>
    <cellStyle name="桁区切り 15 2 2 2" xfId="6636" xr:uid="{00000000-0005-0000-0000-000055120000}"/>
    <cellStyle name="桁区切り 15 2 3" xfId="6492" xr:uid="{00000000-0005-0000-0000-000056120000}"/>
    <cellStyle name="桁区切り 15 3" xfId="5854" xr:uid="{00000000-0005-0000-0000-000057120000}"/>
    <cellStyle name="桁区切り 15 3 2" xfId="6564" xr:uid="{00000000-0005-0000-0000-000058120000}"/>
    <cellStyle name="桁区切り 15 4" xfId="6407" xr:uid="{00000000-0005-0000-0000-000059120000}"/>
    <cellStyle name="桁区切り 16" xfId="5345" xr:uid="{00000000-0005-0000-0000-00005A120000}"/>
    <cellStyle name="桁区切り 16 2" xfId="5462" xr:uid="{00000000-0005-0000-0000-00005B120000}"/>
    <cellStyle name="桁区切り 16 2 2" xfId="5927" xr:uid="{00000000-0005-0000-0000-00005C120000}"/>
    <cellStyle name="桁区切り 16 2 2 2" xfId="6637" xr:uid="{00000000-0005-0000-0000-00005D120000}"/>
    <cellStyle name="桁区切り 16 2 3" xfId="6493" xr:uid="{00000000-0005-0000-0000-00005E120000}"/>
    <cellStyle name="桁区切り 16 3" xfId="5855" xr:uid="{00000000-0005-0000-0000-00005F120000}"/>
    <cellStyle name="桁区切り 16 3 2" xfId="6565" xr:uid="{00000000-0005-0000-0000-000060120000}"/>
    <cellStyle name="桁区切り 16 4" xfId="6408" xr:uid="{00000000-0005-0000-0000-000061120000}"/>
    <cellStyle name="桁区切り 17" xfId="5346" xr:uid="{00000000-0005-0000-0000-000062120000}"/>
    <cellStyle name="桁区切り 17 2" xfId="5463" xr:uid="{00000000-0005-0000-0000-000063120000}"/>
    <cellStyle name="桁区切り 17 2 2" xfId="5928" xr:uid="{00000000-0005-0000-0000-000064120000}"/>
    <cellStyle name="桁区切り 17 2 2 2" xfId="6638" xr:uid="{00000000-0005-0000-0000-000065120000}"/>
    <cellStyle name="桁区切り 17 2 3" xfId="6494" xr:uid="{00000000-0005-0000-0000-000066120000}"/>
    <cellStyle name="桁区切り 17 3" xfId="5856" xr:uid="{00000000-0005-0000-0000-000067120000}"/>
    <cellStyle name="桁区切り 17 3 2" xfId="6566" xr:uid="{00000000-0005-0000-0000-000068120000}"/>
    <cellStyle name="桁区切り 17 4" xfId="6409" xr:uid="{00000000-0005-0000-0000-000069120000}"/>
    <cellStyle name="桁区切り 18" xfId="5347" xr:uid="{00000000-0005-0000-0000-00006A120000}"/>
    <cellStyle name="桁区切り 18 2" xfId="5464" xr:uid="{00000000-0005-0000-0000-00006B120000}"/>
    <cellStyle name="桁区切り 18 2 2" xfId="5929" xr:uid="{00000000-0005-0000-0000-00006C120000}"/>
    <cellStyle name="桁区切り 18 2 2 2" xfId="6639" xr:uid="{00000000-0005-0000-0000-00006D120000}"/>
    <cellStyle name="桁区切り 18 2 3" xfId="6495" xr:uid="{00000000-0005-0000-0000-00006E120000}"/>
    <cellStyle name="桁区切り 18 3" xfId="5857" xr:uid="{00000000-0005-0000-0000-00006F120000}"/>
    <cellStyle name="桁区切り 18 3 2" xfId="6567" xr:uid="{00000000-0005-0000-0000-000070120000}"/>
    <cellStyle name="桁区切り 18 4" xfId="6410" xr:uid="{00000000-0005-0000-0000-000071120000}"/>
    <cellStyle name="桁区切り 19" xfId="5348" xr:uid="{00000000-0005-0000-0000-000072120000}"/>
    <cellStyle name="桁区切り 19 2" xfId="5465" xr:uid="{00000000-0005-0000-0000-000073120000}"/>
    <cellStyle name="桁区切り 19 2 2" xfId="5930" xr:uid="{00000000-0005-0000-0000-000074120000}"/>
    <cellStyle name="桁区切り 19 2 2 2" xfId="6640" xr:uid="{00000000-0005-0000-0000-000075120000}"/>
    <cellStyle name="桁区切り 19 2 3" xfId="6496" xr:uid="{00000000-0005-0000-0000-000076120000}"/>
    <cellStyle name="桁区切り 19 3" xfId="5858" xr:uid="{00000000-0005-0000-0000-000077120000}"/>
    <cellStyle name="桁区切り 19 3 2" xfId="6568" xr:uid="{00000000-0005-0000-0000-000078120000}"/>
    <cellStyle name="桁区切り 19 4" xfId="6411" xr:uid="{00000000-0005-0000-0000-000079120000}"/>
    <cellStyle name="桁区切り 2" xfId="36" xr:uid="{00000000-0005-0000-0000-00007A120000}"/>
    <cellStyle name="桁区切り 2 2" xfId="234" xr:uid="{00000000-0005-0000-0000-00007B120000}"/>
    <cellStyle name="桁区切り 2 3" xfId="50" xr:uid="{00000000-0005-0000-0000-00007C120000}"/>
    <cellStyle name="桁区切り 2 4" xfId="45" xr:uid="{00000000-0005-0000-0000-00007D120000}"/>
    <cellStyle name="桁区切り 20" xfId="5349" xr:uid="{00000000-0005-0000-0000-00007E120000}"/>
    <cellStyle name="桁区切り 20 2" xfId="5466" xr:uid="{00000000-0005-0000-0000-00007F120000}"/>
    <cellStyle name="桁区切り 20 2 2" xfId="5931" xr:uid="{00000000-0005-0000-0000-000080120000}"/>
    <cellStyle name="桁区切り 20 2 2 2" xfId="6641" xr:uid="{00000000-0005-0000-0000-000081120000}"/>
    <cellStyle name="桁区切り 20 2 3" xfId="6497" xr:uid="{00000000-0005-0000-0000-000082120000}"/>
    <cellStyle name="桁区切り 20 3" xfId="5859" xr:uid="{00000000-0005-0000-0000-000083120000}"/>
    <cellStyle name="桁区切り 20 3 2" xfId="6569" xr:uid="{00000000-0005-0000-0000-000084120000}"/>
    <cellStyle name="桁区切り 20 4" xfId="6412" xr:uid="{00000000-0005-0000-0000-000085120000}"/>
    <cellStyle name="桁区切り 21" xfId="5350" xr:uid="{00000000-0005-0000-0000-000086120000}"/>
    <cellStyle name="桁区切り 21 2" xfId="5467" xr:uid="{00000000-0005-0000-0000-000087120000}"/>
    <cellStyle name="桁区切り 21 2 2" xfId="5932" xr:uid="{00000000-0005-0000-0000-000088120000}"/>
    <cellStyle name="桁区切り 21 2 2 2" xfId="6642" xr:uid="{00000000-0005-0000-0000-000089120000}"/>
    <cellStyle name="桁区切り 21 2 3" xfId="6498" xr:uid="{00000000-0005-0000-0000-00008A120000}"/>
    <cellStyle name="桁区切り 21 3" xfId="5860" xr:uid="{00000000-0005-0000-0000-00008B120000}"/>
    <cellStyle name="桁区切り 21 3 2" xfId="6570" xr:uid="{00000000-0005-0000-0000-00008C120000}"/>
    <cellStyle name="桁区切り 21 4" xfId="6413" xr:uid="{00000000-0005-0000-0000-00008D120000}"/>
    <cellStyle name="桁区切り 22" xfId="5351" xr:uid="{00000000-0005-0000-0000-00008E120000}"/>
    <cellStyle name="桁区切り 22 2" xfId="5468" xr:uid="{00000000-0005-0000-0000-00008F120000}"/>
    <cellStyle name="桁区切り 22 2 2" xfId="5933" xr:uid="{00000000-0005-0000-0000-000090120000}"/>
    <cellStyle name="桁区切り 22 2 2 2" xfId="6643" xr:uid="{00000000-0005-0000-0000-000091120000}"/>
    <cellStyle name="桁区切り 22 2 3" xfId="6499" xr:uid="{00000000-0005-0000-0000-000092120000}"/>
    <cellStyle name="桁区切り 22 3" xfId="5861" xr:uid="{00000000-0005-0000-0000-000093120000}"/>
    <cellStyle name="桁区切り 22 3 2" xfId="6571" xr:uid="{00000000-0005-0000-0000-000094120000}"/>
    <cellStyle name="桁区切り 22 4" xfId="6414" xr:uid="{00000000-0005-0000-0000-000095120000}"/>
    <cellStyle name="桁区切り 23" xfId="5352" xr:uid="{00000000-0005-0000-0000-000096120000}"/>
    <cellStyle name="桁区切り 23 2" xfId="5469" xr:uid="{00000000-0005-0000-0000-000097120000}"/>
    <cellStyle name="桁区切り 23 2 2" xfId="5934" xr:uid="{00000000-0005-0000-0000-000098120000}"/>
    <cellStyle name="桁区切り 23 2 2 2" xfId="6644" xr:uid="{00000000-0005-0000-0000-000099120000}"/>
    <cellStyle name="桁区切り 23 2 3" xfId="6500" xr:uid="{00000000-0005-0000-0000-00009A120000}"/>
    <cellStyle name="桁区切り 23 3" xfId="5862" xr:uid="{00000000-0005-0000-0000-00009B120000}"/>
    <cellStyle name="桁区切り 23 3 2" xfId="6572" xr:uid="{00000000-0005-0000-0000-00009C120000}"/>
    <cellStyle name="桁区切り 23 4" xfId="6415" xr:uid="{00000000-0005-0000-0000-00009D120000}"/>
    <cellStyle name="桁区切り 24" xfId="5353" xr:uid="{00000000-0005-0000-0000-00009E120000}"/>
    <cellStyle name="桁区切り 24 2" xfId="5470" xr:uid="{00000000-0005-0000-0000-00009F120000}"/>
    <cellStyle name="桁区切り 24 2 2" xfId="5935" xr:uid="{00000000-0005-0000-0000-0000A0120000}"/>
    <cellStyle name="桁区切り 24 2 2 2" xfId="6645" xr:uid="{00000000-0005-0000-0000-0000A1120000}"/>
    <cellStyle name="桁区切り 24 2 3" xfId="6501" xr:uid="{00000000-0005-0000-0000-0000A2120000}"/>
    <cellStyle name="桁区切り 24 3" xfId="5863" xr:uid="{00000000-0005-0000-0000-0000A3120000}"/>
    <cellStyle name="桁区切り 24 3 2" xfId="6573" xr:uid="{00000000-0005-0000-0000-0000A4120000}"/>
    <cellStyle name="桁区切り 24 4" xfId="6416" xr:uid="{00000000-0005-0000-0000-0000A5120000}"/>
    <cellStyle name="桁区切り 25" xfId="5354" xr:uid="{00000000-0005-0000-0000-0000A6120000}"/>
    <cellStyle name="桁区切り 25 2" xfId="5471" xr:uid="{00000000-0005-0000-0000-0000A7120000}"/>
    <cellStyle name="桁区切り 25 2 2" xfId="5936" xr:uid="{00000000-0005-0000-0000-0000A8120000}"/>
    <cellStyle name="桁区切り 25 2 2 2" xfId="6646" xr:uid="{00000000-0005-0000-0000-0000A9120000}"/>
    <cellStyle name="桁区切り 25 2 3" xfId="6502" xr:uid="{00000000-0005-0000-0000-0000AA120000}"/>
    <cellStyle name="桁区切り 25 3" xfId="5864" xr:uid="{00000000-0005-0000-0000-0000AB120000}"/>
    <cellStyle name="桁区切り 25 3 2" xfId="6574" xr:uid="{00000000-0005-0000-0000-0000AC120000}"/>
    <cellStyle name="桁区切り 25 4" xfId="6417" xr:uid="{00000000-0005-0000-0000-0000AD120000}"/>
    <cellStyle name="桁区切り 26" xfId="5355" xr:uid="{00000000-0005-0000-0000-0000AE120000}"/>
    <cellStyle name="桁区切り 26 2" xfId="5472" xr:uid="{00000000-0005-0000-0000-0000AF120000}"/>
    <cellStyle name="桁区切り 26 2 2" xfId="5937" xr:uid="{00000000-0005-0000-0000-0000B0120000}"/>
    <cellStyle name="桁区切り 26 2 2 2" xfId="6647" xr:uid="{00000000-0005-0000-0000-0000B1120000}"/>
    <cellStyle name="桁区切り 26 2 3" xfId="6503" xr:uid="{00000000-0005-0000-0000-0000B2120000}"/>
    <cellStyle name="桁区切り 26 3" xfId="5865" xr:uid="{00000000-0005-0000-0000-0000B3120000}"/>
    <cellStyle name="桁区切り 26 3 2" xfId="6575" xr:uid="{00000000-0005-0000-0000-0000B4120000}"/>
    <cellStyle name="桁区切り 26 4" xfId="6418" xr:uid="{00000000-0005-0000-0000-0000B5120000}"/>
    <cellStyle name="桁区切り 27" xfId="5356" xr:uid="{00000000-0005-0000-0000-0000B6120000}"/>
    <cellStyle name="桁区切り 27 2" xfId="5473" xr:uid="{00000000-0005-0000-0000-0000B7120000}"/>
    <cellStyle name="桁区切り 27 2 2" xfId="5938" xr:uid="{00000000-0005-0000-0000-0000B8120000}"/>
    <cellStyle name="桁区切り 27 2 2 2" xfId="6648" xr:uid="{00000000-0005-0000-0000-0000B9120000}"/>
    <cellStyle name="桁区切り 27 2 3" xfId="6504" xr:uid="{00000000-0005-0000-0000-0000BA120000}"/>
    <cellStyle name="桁区切り 27 3" xfId="5866" xr:uid="{00000000-0005-0000-0000-0000BB120000}"/>
    <cellStyle name="桁区切り 27 3 2" xfId="6576" xr:uid="{00000000-0005-0000-0000-0000BC120000}"/>
    <cellStyle name="桁区切り 27 4" xfId="6419" xr:uid="{00000000-0005-0000-0000-0000BD120000}"/>
    <cellStyle name="桁区切り 28" xfId="5357" xr:uid="{00000000-0005-0000-0000-0000BE120000}"/>
    <cellStyle name="桁区切り 29" xfId="5358" xr:uid="{00000000-0005-0000-0000-0000BF120000}"/>
    <cellStyle name="桁区切り 3" xfId="51" xr:uid="{00000000-0005-0000-0000-0000C0120000}"/>
    <cellStyle name="桁区切り 3 2" xfId="235" xr:uid="{00000000-0005-0000-0000-0000C1120000}"/>
    <cellStyle name="桁区切り 3 2 2" xfId="49" xr:uid="{00000000-0005-0000-0000-0000C2120000}"/>
    <cellStyle name="桁区切り 30" xfId="5359" xr:uid="{00000000-0005-0000-0000-0000C3120000}"/>
    <cellStyle name="桁区切り 31" xfId="5381" xr:uid="{00000000-0005-0000-0000-0000C4120000}"/>
    <cellStyle name="桁区切り 32" xfId="43" xr:uid="{00000000-0005-0000-0000-0000C5120000}"/>
    <cellStyle name="桁区切り 4" xfId="236" xr:uid="{00000000-0005-0000-0000-0000C6120000}"/>
    <cellStyle name="桁区切り 4 2" xfId="237" xr:uid="{00000000-0005-0000-0000-0000C7120000}"/>
    <cellStyle name="桁区切り 5" xfId="238" xr:uid="{00000000-0005-0000-0000-0000C8120000}"/>
    <cellStyle name="桁区切り 5 2" xfId="2710" xr:uid="{00000000-0005-0000-0000-0000C9120000}"/>
    <cellStyle name="桁区切り 6" xfId="239" xr:uid="{00000000-0005-0000-0000-0000CA120000}"/>
    <cellStyle name="桁区切り 7" xfId="240" xr:uid="{00000000-0005-0000-0000-0000CB120000}"/>
    <cellStyle name="桁区切り 8" xfId="241" xr:uid="{00000000-0005-0000-0000-0000CC120000}"/>
    <cellStyle name="桁区切り 9" xfId="242" xr:uid="{00000000-0005-0000-0000-0000CD120000}"/>
    <cellStyle name="桁区切り![0.0]" xfId="243" xr:uid="{00000000-0005-0000-0000-0000CE120000}"/>
    <cellStyle name="桁区切り![0.0] 2" xfId="4307" xr:uid="{00000000-0005-0000-0000-0000CF120000}"/>
    <cellStyle name="桁区切り![0.0] 2 2" xfId="4308" xr:uid="{00000000-0005-0000-0000-0000D0120000}"/>
    <cellStyle name="桁区切り![0.0] 2 2 2" xfId="4309" xr:uid="{00000000-0005-0000-0000-0000D1120000}"/>
    <cellStyle name="桁区切り![0.0] 2 2 2 2" xfId="4310" xr:uid="{00000000-0005-0000-0000-0000D2120000}"/>
    <cellStyle name="桁区切り![0.0] 2 2 3" xfId="4311" xr:uid="{00000000-0005-0000-0000-0000D3120000}"/>
    <cellStyle name="桁区切り![0.0] 2 2 3 2" xfId="4312" xr:uid="{00000000-0005-0000-0000-0000D4120000}"/>
    <cellStyle name="桁区切り![0.0] 2 2 3 2 2" xfId="4313" xr:uid="{00000000-0005-0000-0000-0000D5120000}"/>
    <cellStyle name="桁区切り![0.0] 2 2 3 3" xfId="4314" xr:uid="{00000000-0005-0000-0000-0000D6120000}"/>
    <cellStyle name="桁区切り![0.0] 2 2 4" xfId="4315" xr:uid="{00000000-0005-0000-0000-0000D7120000}"/>
    <cellStyle name="桁区切り![0.0] 2 3" xfId="4316" xr:uid="{00000000-0005-0000-0000-0000D8120000}"/>
    <cellStyle name="桁区切り![0.0] 3" xfId="4317" xr:uid="{00000000-0005-0000-0000-0000D9120000}"/>
    <cellStyle name="見出し" xfId="34" xr:uid="{00000000-0005-0000-0000-0000DA120000}"/>
    <cellStyle name="見出し 1 1" xfId="2711" xr:uid="{00000000-0005-0000-0000-0000DB120000}"/>
    <cellStyle name="見出し 1 2" xfId="2712" xr:uid="{00000000-0005-0000-0000-0000DC120000}"/>
    <cellStyle name="見出し 1 2 2" xfId="2865" xr:uid="{00000000-0005-0000-0000-0000DD120000}"/>
    <cellStyle name="見出し 2 2" xfId="2713" xr:uid="{00000000-0005-0000-0000-0000DE120000}"/>
    <cellStyle name="見出し 2 2 2" xfId="2866" xr:uid="{00000000-0005-0000-0000-0000DF120000}"/>
    <cellStyle name="見出し 3 2" xfId="2714" xr:uid="{00000000-0005-0000-0000-0000E0120000}"/>
    <cellStyle name="見出し 3 2 2" xfId="2867" xr:uid="{00000000-0005-0000-0000-0000E1120000}"/>
    <cellStyle name="見出し 4 2" xfId="2715" xr:uid="{00000000-0005-0000-0000-0000E2120000}"/>
    <cellStyle name="見出し 4 2 2" xfId="2868" xr:uid="{00000000-0005-0000-0000-0000E3120000}"/>
    <cellStyle name="見出し 5" xfId="2716" xr:uid="{00000000-0005-0000-0000-0000E4120000}"/>
    <cellStyle name="見出し 6" xfId="2864" xr:uid="{00000000-0005-0000-0000-0000E5120000}"/>
    <cellStyle name="見出し 7" xfId="5360" xr:uid="{00000000-0005-0000-0000-0000E6120000}"/>
    <cellStyle name="見出し１" xfId="244" xr:uid="{00000000-0005-0000-0000-0000E7120000}"/>
    <cellStyle name="見出し２" xfId="245" xr:uid="{00000000-0005-0000-0000-0000E8120000}"/>
    <cellStyle name="見積" xfId="35" xr:uid="{00000000-0005-0000-0000-0000E9120000}"/>
    <cellStyle name="見積 2" xfId="2869" xr:uid="{00000000-0005-0000-0000-0000EA120000}"/>
    <cellStyle name="見積 3" xfId="5361" xr:uid="{00000000-0005-0000-0000-0000EB120000}"/>
    <cellStyle name="后继超级链接" xfId="2717" xr:uid="{00000000-0005-0000-0000-0000EC120000}"/>
    <cellStyle name="好" xfId="2718" xr:uid="{00000000-0005-0000-0000-0000ED120000}"/>
    <cellStyle name="好 2" xfId="4318" xr:uid="{00000000-0005-0000-0000-0000EE120000}"/>
    <cellStyle name="好 2 2" xfId="4319" xr:uid="{00000000-0005-0000-0000-0000EF120000}"/>
    <cellStyle name="好 2 2 2" xfId="4320" xr:uid="{00000000-0005-0000-0000-0000F0120000}"/>
    <cellStyle name="好 2 2 2 2" xfId="4321" xr:uid="{00000000-0005-0000-0000-0000F1120000}"/>
    <cellStyle name="好 2 2 2 3" xfId="4322" xr:uid="{00000000-0005-0000-0000-0000F2120000}"/>
    <cellStyle name="好 2 2 3" xfId="4323" xr:uid="{00000000-0005-0000-0000-0000F3120000}"/>
    <cellStyle name="好 2 3" xfId="4324" xr:uid="{00000000-0005-0000-0000-0000F4120000}"/>
    <cellStyle name="好 2 3 2" xfId="4325" xr:uid="{00000000-0005-0000-0000-0000F5120000}"/>
    <cellStyle name="好 2 3 3" xfId="4326" xr:uid="{00000000-0005-0000-0000-0000F6120000}"/>
    <cellStyle name="好 2 4" xfId="4327" xr:uid="{00000000-0005-0000-0000-0000F7120000}"/>
    <cellStyle name="好 3" xfId="4328" xr:uid="{00000000-0005-0000-0000-0000F8120000}"/>
    <cellStyle name="好 3 2" xfId="4329" xr:uid="{00000000-0005-0000-0000-0000F9120000}"/>
    <cellStyle name="好 3 3" xfId="4330" xr:uid="{00000000-0005-0000-0000-0000FA120000}"/>
    <cellStyle name="好 4" xfId="4331" xr:uid="{00000000-0005-0000-0000-0000FB120000}"/>
    <cellStyle name="好_13年度反省書(SR係)" xfId="2719" xr:uid="{00000000-0005-0000-0000-0000FC120000}"/>
    <cellStyle name="好_IC全体スケジュール" xfId="4332" xr:uid="{00000000-0005-0000-0000-0000FD120000}"/>
    <cellStyle name="好_Release_Bug_Analyse" xfId="4333" xr:uid="{00000000-0005-0000-0000-0000FE120000}"/>
    <cellStyle name="好_Release_Bug_Analyse 2" xfId="4334" xr:uid="{00000000-0005-0000-0000-0000FF120000}"/>
    <cellStyle name="好_Release_Bug_Analyse 2 2" xfId="4335" xr:uid="{00000000-0005-0000-0000-000000130000}"/>
    <cellStyle name="好_Release_Bug_Analyse 2 2 2" xfId="4336" xr:uid="{00000000-0005-0000-0000-000001130000}"/>
    <cellStyle name="好_Release_Bug_Analyse 2 2 2 2" xfId="4337" xr:uid="{00000000-0005-0000-0000-000002130000}"/>
    <cellStyle name="好_Release_Bug_Analyse 2 2 2 3" xfId="4338" xr:uid="{00000000-0005-0000-0000-000003130000}"/>
    <cellStyle name="好_Release_Bug_Analyse 2 2 3" xfId="4339" xr:uid="{00000000-0005-0000-0000-000004130000}"/>
    <cellStyle name="好_Release_Bug_Analyse 2 3" xfId="4340" xr:uid="{00000000-0005-0000-0000-000005130000}"/>
    <cellStyle name="好_Release_Bug_Analyse 2 3 2" xfId="4341" xr:uid="{00000000-0005-0000-0000-000006130000}"/>
    <cellStyle name="好_Release_Bug_Analyse 2 3 3" xfId="4342" xr:uid="{00000000-0005-0000-0000-000007130000}"/>
    <cellStyle name="好_Release_Bug_Analyse 2 4" xfId="4343" xr:uid="{00000000-0005-0000-0000-000008130000}"/>
    <cellStyle name="好_Release_Bug_Analyse 3" xfId="4344" xr:uid="{00000000-0005-0000-0000-000009130000}"/>
    <cellStyle name="好_Release_Bug_Analyse 3 2" xfId="4345" xr:uid="{00000000-0005-0000-0000-00000A130000}"/>
    <cellStyle name="好_Release_Bug_Analyse 3 2 2" xfId="4346" xr:uid="{00000000-0005-0000-0000-00000B130000}"/>
    <cellStyle name="好_Release_Bug_Analyse 3 3" xfId="4347" xr:uid="{00000000-0005-0000-0000-00000C130000}"/>
    <cellStyle name="好_Release_Bug_Analyse 4" xfId="4348" xr:uid="{00000000-0005-0000-0000-00000D130000}"/>
    <cellStyle name="好_Release_Bug_Analyse 4 2" xfId="4349" xr:uid="{00000000-0005-0000-0000-00000E130000}"/>
    <cellStyle name="好_Release_Bug_Analyse 4 3" xfId="4350" xr:uid="{00000000-0005-0000-0000-00000F130000}"/>
    <cellStyle name="好_Release_Bug_Analyse 5" xfId="4351" xr:uid="{00000000-0005-0000-0000-000010130000}"/>
    <cellStyle name="好_Release_Bug_Analyse_report_Sample" xfId="4352" xr:uid="{00000000-0005-0000-0000-000011130000}"/>
    <cellStyle name="好_Release_Bug_Analyse_report_Sample 2" xfId="4353" xr:uid="{00000000-0005-0000-0000-000012130000}"/>
    <cellStyle name="好_Release_Bug_Analyse_report_Sample 2 2" xfId="4354" xr:uid="{00000000-0005-0000-0000-000013130000}"/>
    <cellStyle name="好_Release_Bug_Analyse_report_Sample 2 2 2" xfId="4355" xr:uid="{00000000-0005-0000-0000-000014130000}"/>
    <cellStyle name="好_Release_Bug_Analyse_report_Sample 2 2 2 2" xfId="4356" xr:uid="{00000000-0005-0000-0000-000015130000}"/>
    <cellStyle name="好_Release_Bug_Analyse_report_Sample 2 2 2 3" xfId="4357" xr:uid="{00000000-0005-0000-0000-000016130000}"/>
    <cellStyle name="好_Release_Bug_Analyse_report_Sample 2 2 3" xfId="4358" xr:uid="{00000000-0005-0000-0000-000017130000}"/>
    <cellStyle name="好_Release_Bug_Analyse_report_Sample 2 3" xfId="4359" xr:uid="{00000000-0005-0000-0000-000018130000}"/>
    <cellStyle name="好_Release_Bug_Analyse_report_Sample 2 3 2" xfId="4360" xr:uid="{00000000-0005-0000-0000-000019130000}"/>
    <cellStyle name="好_Release_Bug_Analyse_report_Sample 2 3 3" xfId="4361" xr:uid="{00000000-0005-0000-0000-00001A130000}"/>
    <cellStyle name="好_Release_Bug_Analyse_report_Sample 2 4" xfId="4362" xr:uid="{00000000-0005-0000-0000-00001B130000}"/>
    <cellStyle name="好_Release_Bug_Analyse_report_Sample 3" xfId="4363" xr:uid="{00000000-0005-0000-0000-00001C130000}"/>
    <cellStyle name="好_Release_Bug_Analyse_report_Sample 3 2" xfId="4364" xr:uid="{00000000-0005-0000-0000-00001D130000}"/>
    <cellStyle name="好_Release_Bug_Analyse_report_Sample 3 2 2" xfId="4365" xr:uid="{00000000-0005-0000-0000-00001E130000}"/>
    <cellStyle name="好_Release_Bug_Analyse_report_Sample 3 3" xfId="4366" xr:uid="{00000000-0005-0000-0000-00001F130000}"/>
    <cellStyle name="好_Release_Bug_Analyse_report_Sample 4" xfId="4367" xr:uid="{00000000-0005-0000-0000-000020130000}"/>
    <cellStyle name="好_Release_Bug_Analyse_report_Sample 4 2" xfId="4368" xr:uid="{00000000-0005-0000-0000-000021130000}"/>
    <cellStyle name="好_Release_Bug_Analyse_report_Sample 4 3" xfId="4369" xr:uid="{00000000-0005-0000-0000-000022130000}"/>
    <cellStyle name="好_Release_Bug_Analyse_report_Sample 5" xfId="4370" xr:uid="{00000000-0005-0000-0000-000023130000}"/>
    <cellStyle name="好_Release_Bug_Analyse_report_templete_temp-ver3" xfId="4371" xr:uid="{00000000-0005-0000-0000-000024130000}"/>
    <cellStyle name="好_Release_Bug_Analyse_report_templete_temp-ver3 2" xfId="4372" xr:uid="{00000000-0005-0000-0000-000025130000}"/>
    <cellStyle name="好_Release_Bug_Analyse_report_templete_temp-ver3 2 2" xfId="4373" xr:uid="{00000000-0005-0000-0000-000026130000}"/>
    <cellStyle name="好_Release_Bug_Analyse_report_templete_temp-ver3 2 2 2" xfId="4374" xr:uid="{00000000-0005-0000-0000-000027130000}"/>
    <cellStyle name="好_Release_Bug_Analyse_report_templete_temp-ver3 2 2 2 2" xfId="4375" xr:uid="{00000000-0005-0000-0000-000028130000}"/>
    <cellStyle name="好_Release_Bug_Analyse_report_templete_temp-ver3 2 2 2 3" xfId="4376" xr:uid="{00000000-0005-0000-0000-000029130000}"/>
    <cellStyle name="好_Release_Bug_Analyse_report_templete_temp-ver3 2 2 3" xfId="4377" xr:uid="{00000000-0005-0000-0000-00002A130000}"/>
    <cellStyle name="好_Release_Bug_Analyse_report_templete_temp-ver3 2 3" xfId="4378" xr:uid="{00000000-0005-0000-0000-00002B130000}"/>
    <cellStyle name="好_Release_Bug_Analyse_report_templete_temp-ver3 2 3 2" xfId="4379" xr:uid="{00000000-0005-0000-0000-00002C130000}"/>
    <cellStyle name="好_Release_Bug_Analyse_report_templete_temp-ver3 2 3 3" xfId="4380" xr:uid="{00000000-0005-0000-0000-00002D130000}"/>
    <cellStyle name="好_Release_Bug_Analyse_report_templete_temp-ver3 2 4" xfId="4381" xr:uid="{00000000-0005-0000-0000-00002E130000}"/>
    <cellStyle name="好_Release_Bug_Analyse_report_templete_temp-ver3 3" xfId="4382" xr:uid="{00000000-0005-0000-0000-00002F130000}"/>
    <cellStyle name="好_Release_Bug_Analyse_report_templete_temp-ver3 3 2" xfId="4383" xr:uid="{00000000-0005-0000-0000-000030130000}"/>
    <cellStyle name="好_Release_Bug_Analyse_report_templete_temp-ver3 3 2 2" xfId="4384" xr:uid="{00000000-0005-0000-0000-000031130000}"/>
    <cellStyle name="好_Release_Bug_Analyse_report_templete_temp-ver3 3 3" xfId="4385" xr:uid="{00000000-0005-0000-0000-000032130000}"/>
    <cellStyle name="好_Release_Bug_Analyse_report_templete_temp-ver3 4" xfId="4386" xr:uid="{00000000-0005-0000-0000-000033130000}"/>
    <cellStyle name="好_Release_Bug_Analyse_report_templete_temp-ver3 4 2" xfId="4387" xr:uid="{00000000-0005-0000-0000-000034130000}"/>
    <cellStyle name="好_Release_Bug_Analyse_report_templete_temp-ver3 4 3" xfId="4388" xr:uid="{00000000-0005-0000-0000-000035130000}"/>
    <cellStyle name="好_Release_Bug_Analyse_report_templete_temp-ver3 5" xfId="4389" xr:uid="{00000000-0005-0000-0000-000036130000}"/>
    <cellStyle name="好_ReleaseBuglist(QAG)" xfId="4390" xr:uid="{00000000-0005-0000-0000-000037130000}"/>
    <cellStyle name="好_ReleaseBuglist(QAG) 2" xfId="4391" xr:uid="{00000000-0005-0000-0000-000038130000}"/>
    <cellStyle name="好_ReleaseBuglist(QAG) 2 2" xfId="4392" xr:uid="{00000000-0005-0000-0000-000039130000}"/>
    <cellStyle name="好_ReleaseBuglist(QAG) 2 2 2" xfId="4393" xr:uid="{00000000-0005-0000-0000-00003A130000}"/>
    <cellStyle name="好_ReleaseBuglist(QAG) 2 2 2 2" xfId="4394" xr:uid="{00000000-0005-0000-0000-00003B130000}"/>
    <cellStyle name="好_ReleaseBuglist(QAG) 2 2 2 3" xfId="4395" xr:uid="{00000000-0005-0000-0000-00003C130000}"/>
    <cellStyle name="好_ReleaseBuglist(QAG) 2 2 3" xfId="4396" xr:uid="{00000000-0005-0000-0000-00003D130000}"/>
    <cellStyle name="好_ReleaseBuglist(QAG) 2 3" xfId="4397" xr:uid="{00000000-0005-0000-0000-00003E130000}"/>
    <cellStyle name="好_ReleaseBuglist(QAG) 2 3 2" xfId="4398" xr:uid="{00000000-0005-0000-0000-00003F130000}"/>
    <cellStyle name="好_ReleaseBuglist(QAG) 2 3 3" xfId="4399" xr:uid="{00000000-0005-0000-0000-000040130000}"/>
    <cellStyle name="好_ReleaseBuglist(QAG) 2 4" xfId="4400" xr:uid="{00000000-0005-0000-0000-000041130000}"/>
    <cellStyle name="好_ReleaseBuglist(QAG) 3" xfId="4401" xr:uid="{00000000-0005-0000-0000-000042130000}"/>
    <cellStyle name="好_ReleaseBuglist(QAG) 3 2" xfId="4402" xr:uid="{00000000-0005-0000-0000-000043130000}"/>
    <cellStyle name="好_ReleaseBuglist(QAG) 3 2 2" xfId="4403" xr:uid="{00000000-0005-0000-0000-000044130000}"/>
    <cellStyle name="好_ReleaseBuglist(QAG) 3 3" xfId="4404" xr:uid="{00000000-0005-0000-0000-000045130000}"/>
    <cellStyle name="好_ReleaseBuglist(QAG) 4" xfId="4405" xr:uid="{00000000-0005-0000-0000-000046130000}"/>
    <cellStyle name="好_ReleaseBuglist(QAG) 4 2" xfId="4406" xr:uid="{00000000-0005-0000-0000-000047130000}"/>
    <cellStyle name="好_ReleaseBuglist(QAG) 4 3" xfId="4407" xr:uid="{00000000-0005-0000-0000-000048130000}"/>
    <cellStyle name="好_ReleaseBuglist(QAG) 5" xfId="4408" xr:uid="{00000000-0005-0000-0000-000049130000}"/>
    <cellStyle name="好_ReleaseBuglist-080215(讨论后)" xfId="4409" xr:uid="{00000000-0005-0000-0000-00004A130000}"/>
    <cellStyle name="好_ReleaseBuglist-080215(讨论后) 2" xfId="4410" xr:uid="{00000000-0005-0000-0000-00004B130000}"/>
    <cellStyle name="好_ReleaseBuglist-080215(讨论后) 2 2" xfId="4411" xr:uid="{00000000-0005-0000-0000-00004C130000}"/>
    <cellStyle name="好_ReleaseBuglist-080215(讨论后) 2 2 2" xfId="4412" xr:uid="{00000000-0005-0000-0000-00004D130000}"/>
    <cellStyle name="好_ReleaseBuglist-080215(讨论后) 2 2 2 2" xfId="4413" xr:uid="{00000000-0005-0000-0000-00004E130000}"/>
    <cellStyle name="好_ReleaseBuglist-080215(讨论后) 2 2 2 3" xfId="4414" xr:uid="{00000000-0005-0000-0000-00004F130000}"/>
    <cellStyle name="好_ReleaseBuglist-080215(讨论后) 2 2 3" xfId="4415" xr:uid="{00000000-0005-0000-0000-000050130000}"/>
    <cellStyle name="好_ReleaseBuglist-080215(讨论后) 2 3" xfId="4416" xr:uid="{00000000-0005-0000-0000-000051130000}"/>
    <cellStyle name="好_ReleaseBuglist-080215(讨论后) 2 3 2" xfId="4417" xr:uid="{00000000-0005-0000-0000-000052130000}"/>
    <cellStyle name="好_ReleaseBuglist-080215(讨论后) 2 3 3" xfId="4418" xr:uid="{00000000-0005-0000-0000-000053130000}"/>
    <cellStyle name="好_ReleaseBuglist-080215(讨论后) 2 4" xfId="4419" xr:uid="{00000000-0005-0000-0000-000054130000}"/>
    <cellStyle name="好_ReleaseBuglist-080215(讨论后) 3" xfId="4420" xr:uid="{00000000-0005-0000-0000-000055130000}"/>
    <cellStyle name="好_ReleaseBuglist-080215(讨论后) 3 2" xfId="4421" xr:uid="{00000000-0005-0000-0000-000056130000}"/>
    <cellStyle name="好_ReleaseBuglist-080215(讨论后) 3 2 2" xfId="4422" xr:uid="{00000000-0005-0000-0000-000057130000}"/>
    <cellStyle name="好_ReleaseBuglist-080215(讨论后) 3 3" xfId="4423" xr:uid="{00000000-0005-0000-0000-000058130000}"/>
    <cellStyle name="好_ReleaseBuglist-080215(讨论后) 4" xfId="4424" xr:uid="{00000000-0005-0000-0000-000059130000}"/>
    <cellStyle name="好_ReleaseBuglist-080215(讨论后) 4 2" xfId="4425" xr:uid="{00000000-0005-0000-0000-00005A130000}"/>
    <cellStyle name="好_ReleaseBuglist-080215(讨论后) 4 3" xfId="4426" xr:uid="{00000000-0005-0000-0000-00005B130000}"/>
    <cellStyle name="好_ReleaseBuglist-080215(讨论后) 5" xfId="4427" xr:uid="{00000000-0005-0000-0000-00005C130000}"/>
    <cellStyle name="好_ReleaseBuglist-ver3" xfId="4428" xr:uid="{00000000-0005-0000-0000-00005D130000}"/>
    <cellStyle name="好_ReleaseBuglist-ver3 2" xfId="4429" xr:uid="{00000000-0005-0000-0000-00005E130000}"/>
    <cellStyle name="好_ReleaseBuglist-ver3 2 2" xfId="4430" xr:uid="{00000000-0005-0000-0000-00005F130000}"/>
    <cellStyle name="好_ReleaseBuglist-ver3 2 2 2" xfId="4431" xr:uid="{00000000-0005-0000-0000-000060130000}"/>
    <cellStyle name="好_ReleaseBuglist-ver3 2 2 2 2" xfId="4432" xr:uid="{00000000-0005-0000-0000-000061130000}"/>
    <cellStyle name="好_ReleaseBuglist-ver3 2 2 2 3" xfId="4433" xr:uid="{00000000-0005-0000-0000-000062130000}"/>
    <cellStyle name="好_ReleaseBuglist-ver3 2 2 3" xfId="4434" xr:uid="{00000000-0005-0000-0000-000063130000}"/>
    <cellStyle name="好_ReleaseBuglist-ver3 2 3" xfId="4435" xr:uid="{00000000-0005-0000-0000-000064130000}"/>
    <cellStyle name="好_ReleaseBuglist-ver3 2 3 2" xfId="4436" xr:uid="{00000000-0005-0000-0000-000065130000}"/>
    <cellStyle name="好_ReleaseBuglist-ver3 2 3 3" xfId="4437" xr:uid="{00000000-0005-0000-0000-000066130000}"/>
    <cellStyle name="好_ReleaseBuglist-ver3 2 4" xfId="4438" xr:uid="{00000000-0005-0000-0000-000067130000}"/>
    <cellStyle name="好_ReleaseBuglist-ver3 3" xfId="4439" xr:uid="{00000000-0005-0000-0000-000068130000}"/>
    <cellStyle name="好_ReleaseBuglist-ver3 3 2" xfId="4440" xr:uid="{00000000-0005-0000-0000-000069130000}"/>
    <cellStyle name="好_ReleaseBuglist-ver3 3 2 2" xfId="4441" xr:uid="{00000000-0005-0000-0000-00006A130000}"/>
    <cellStyle name="好_ReleaseBuglist-ver3 3 3" xfId="4442" xr:uid="{00000000-0005-0000-0000-00006B130000}"/>
    <cellStyle name="好_ReleaseBuglist-ver3 4" xfId="4443" xr:uid="{00000000-0005-0000-0000-00006C130000}"/>
    <cellStyle name="好_ReleaseBuglist-ver3 4 2" xfId="4444" xr:uid="{00000000-0005-0000-0000-00006D130000}"/>
    <cellStyle name="好_ReleaseBuglist-ver3 4 3" xfId="4445" xr:uid="{00000000-0005-0000-0000-00006E130000}"/>
    <cellStyle name="好_ReleaseBuglist-ver3 5" xfId="4446" xr:uid="{00000000-0005-0000-0000-00006F130000}"/>
    <cellStyle name="好_Release後不具合分析報告" xfId="4447" xr:uid="{00000000-0005-0000-0000-000070130000}"/>
    <cellStyle name="好_Release後不具合分析報告 2" xfId="4448" xr:uid="{00000000-0005-0000-0000-000071130000}"/>
    <cellStyle name="好_Release後不具合分析報告 2 2" xfId="4449" xr:uid="{00000000-0005-0000-0000-000072130000}"/>
    <cellStyle name="好_Release後不具合分析報告 2 2 2" xfId="4450" xr:uid="{00000000-0005-0000-0000-000073130000}"/>
    <cellStyle name="好_Release後不具合分析報告 2 2 2 2" xfId="4451" xr:uid="{00000000-0005-0000-0000-000074130000}"/>
    <cellStyle name="好_Release後不具合分析報告 2 2 2 3" xfId="4452" xr:uid="{00000000-0005-0000-0000-000075130000}"/>
    <cellStyle name="好_Release後不具合分析報告 2 2 3" xfId="4453" xr:uid="{00000000-0005-0000-0000-000076130000}"/>
    <cellStyle name="好_Release後不具合分析報告 2 3" xfId="4454" xr:uid="{00000000-0005-0000-0000-000077130000}"/>
    <cellStyle name="好_Release後不具合分析報告 2 3 2" xfId="4455" xr:uid="{00000000-0005-0000-0000-000078130000}"/>
    <cellStyle name="好_Release後不具合分析報告 2 3 3" xfId="4456" xr:uid="{00000000-0005-0000-0000-000079130000}"/>
    <cellStyle name="好_Release後不具合分析報告 2 4" xfId="4457" xr:uid="{00000000-0005-0000-0000-00007A130000}"/>
    <cellStyle name="好_Release後不具合分析報告 3" xfId="4458" xr:uid="{00000000-0005-0000-0000-00007B130000}"/>
    <cellStyle name="好_Release後不具合分析報告 3 2" xfId="4459" xr:uid="{00000000-0005-0000-0000-00007C130000}"/>
    <cellStyle name="好_Release後不具合分析報告 3 2 2" xfId="4460" xr:uid="{00000000-0005-0000-0000-00007D130000}"/>
    <cellStyle name="好_Release後不具合分析報告 3 3" xfId="4461" xr:uid="{00000000-0005-0000-0000-00007E130000}"/>
    <cellStyle name="好_Release後不具合分析報告 4" xfId="4462" xr:uid="{00000000-0005-0000-0000-00007F130000}"/>
    <cellStyle name="好_Release後不具合分析報告 4 2" xfId="4463" xr:uid="{00000000-0005-0000-0000-000080130000}"/>
    <cellStyle name="好_Release後不具合分析報告 4 3" xfId="4464" xr:uid="{00000000-0005-0000-0000-000081130000}"/>
    <cellStyle name="好_Release後不具合分析報告 5" xfId="4465" xr:uid="{00000000-0005-0000-0000-000082130000}"/>
    <cellStyle name="合計" xfId="246" xr:uid="{00000000-0005-0000-0000-000083130000}"/>
    <cellStyle name="差" xfId="2720" xr:uid="{00000000-0005-0000-0000-000084130000}"/>
    <cellStyle name="差 2" xfId="4466" xr:uid="{00000000-0005-0000-0000-000085130000}"/>
    <cellStyle name="差 2 2" xfId="4467" xr:uid="{00000000-0005-0000-0000-000086130000}"/>
    <cellStyle name="差 2 2 2" xfId="4468" xr:uid="{00000000-0005-0000-0000-000087130000}"/>
    <cellStyle name="差 2 2 2 2" xfId="4469" xr:uid="{00000000-0005-0000-0000-000088130000}"/>
    <cellStyle name="差 2 2 2 2 2" xfId="4470" xr:uid="{00000000-0005-0000-0000-000089130000}"/>
    <cellStyle name="差 2 2 2 2 2 2" xfId="5959" xr:uid="{00000000-0005-0000-0000-00008A130000}"/>
    <cellStyle name="差 2 2 2 2 3" xfId="5958" xr:uid="{00000000-0005-0000-0000-00008B130000}"/>
    <cellStyle name="差 2 2 2 3" xfId="4471" xr:uid="{00000000-0005-0000-0000-00008C130000}"/>
    <cellStyle name="差 2 2 2 3 2" xfId="4472" xr:uid="{00000000-0005-0000-0000-00008D130000}"/>
    <cellStyle name="差 2 2 2 3 2 2" xfId="5961" xr:uid="{00000000-0005-0000-0000-00008E130000}"/>
    <cellStyle name="差 2 2 2 3 3" xfId="5960" xr:uid="{00000000-0005-0000-0000-00008F130000}"/>
    <cellStyle name="差 2 2 2 4" xfId="4473" xr:uid="{00000000-0005-0000-0000-000090130000}"/>
    <cellStyle name="差 2 2 2 4 2" xfId="5962" xr:uid="{00000000-0005-0000-0000-000091130000}"/>
    <cellStyle name="差 2 2 2 5" xfId="5957" xr:uid="{00000000-0005-0000-0000-000092130000}"/>
    <cellStyle name="差 2 2 3" xfId="4474" xr:uid="{00000000-0005-0000-0000-000093130000}"/>
    <cellStyle name="差 2 2 3 2" xfId="4475" xr:uid="{00000000-0005-0000-0000-000094130000}"/>
    <cellStyle name="差 2 2 3 2 2" xfId="5964" xr:uid="{00000000-0005-0000-0000-000095130000}"/>
    <cellStyle name="差 2 2 3 3" xfId="5963" xr:uid="{00000000-0005-0000-0000-000096130000}"/>
    <cellStyle name="差 2 2 4" xfId="4476" xr:uid="{00000000-0005-0000-0000-000097130000}"/>
    <cellStyle name="差 2 2 4 2" xfId="5965" xr:uid="{00000000-0005-0000-0000-000098130000}"/>
    <cellStyle name="差 2 2 5" xfId="5956" xr:uid="{00000000-0005-0000-0000-000099130000}"/>
    <cellStyle name="差 2 3" xfId="4477" xr:uid="{00000000-0005-0000-0000-00009A130000}"/>
    <cellStyle name="差 2 3 2" xfId="4478" xr:uid="{00000000-0005-0000-0000-00009B130000}"/>
    <cellStyle name="差 2 3 2 2" xfId="4479" xr:uid="{00000000-0005-0000-0000-00009C130000}"/>
    <cellStyle name="差 2 3 2 2 2" xfId="5968" xr:uid="{00000000-0005-0000-0000-00009D130000}"/>
    <cellStyle name="差 2 3 2 3" xfId="5967" xr:uid="{00000000-0005-0000-0000-00009E130000}"/>
    <cellStyle name="差 2 3 3" xfId="4480" xr:uid="{00000000-0005-0000-0000-00009F130000}"/>
    <cellStyle name="差 2 3 3 2" xfId="4481" xr:uid="{00000000-0005-0000-0000-0000A0130000}"/>
    <cellStyle name="差 2 3 3 2 2" xfId="5970" xr:uid="{00000000-0005-0000-0000-0000A1130000}"/>
    <cellStyle name="差 2 3 3 3" xfId="5969" xr:uid="{00000000-0005-0000-0000-0000A2130000}"/>
    <cellStyle name="差 2 3 4" xfId="4482" xr:uid="{00000000-0005-0000-0000-0000A3130000}"/>
    <cellStyle name="差 2 3 4 2" xfId="5971" xr:uid="{00000000-0005-0000-0000-0000A4130000}"/>
    <cellStyle name="差 2 3 5" xfId="5966" xr:uid="{00000000-0005-0000-0000-0000A5130000}"/>
    <cellStyle name="差 2 4" xfId="4483" xr:uid="{00000000-0005-0000-0000-0000A6130000}"/>
    <cellStyle name="差 2 4 2" xfId="4484" xr:uid="{00000000-0005-0000-0000-0000A7130000}"/>
    <cellStyle name="差 2 4 2 2" xfId="5973" xr:uid="{00000000-0005-0000-0000-0000A8130000}"/>
    <cellStyle name="差 2 4 3" xfId="5972" xr:uid="{00000000-0005-0000-0000-0000A9130000}"/>
    <cellStyle name="差 2 5" xfId="4485" xr:uid="{00000000-0005-0000-0000-0000AA130000}"/>
    <cellStyle name="差 2 5 2" xfId="5974" xr:uid="{00000000-0005-0000-0000-0000AB130000}"/>
    <cellStyle name="差 2 6" xfId="5955" xr:uid="{00000000-0005-0000-0000-0000AC130000}"/>
    <cellStyle name="差 3" xfId="4486" xr:uid="{00000000-0005-0000-0000-0000AD130000}"/>
    <cellStyle name="差 3 2" xfId="4487" xr:uid="{00000000-0005-0000-0000-0000AE130000}"/>
    <cellStyle name="差 3 2 2" xfId="4488" xr:uid="{00000000-0005-0000-0000-0000AF130000}"/>
    <cellStyle name="差 3 2 2 2" xfId="5977" xr:uid="{00000000-0005-0000-0000-0000B0130000}"/>
    <cellStyle name="差 3 2 3" xfId="5976" xr:uid="{00000000-0005-0000-0000-0000B1130000}"/>
    <cellStyle name="差 3 3" xfId="4489" xr:uid="{00000000-0005-0000-0000-0000B2130000}"/>
    <cellStyle name="差 3 3 2" xfId="4490" xr:uid="{00000000-0005-0000-0000-0000B3130000}"/>
    <cellStyle name="差 3 3 2 2" xfId="5979" xr:uid="{00000000-0005-0000-0000-0000B4130000}"/>
    <cellStyle name="差 3 3 3" xfId="5978" xr:uid="{00000000-0005-0000-0000-0000B5130000}"/>
    <cellStyle name="差 3 4" xfId="4491" xr:uid="{00000000-0005-0000-0000-0000B6130000}"/>
    <cellStyle name="差 3 4 2" xfId="5980" xr:uid="{00000000-0005-0000-0000-0000B7130000}"/>
    <cellStyle name="差 3 5" xfId="5975" xr:uid="{00000000-0005-0000-0000-0000B8130000}"/>
    <cellStyle name="差 4" xfId="4492" xr:uid="{00000000-0005-0000-0000-0000B9130000}"/>
    <cellStyle name="差 4 2" xfId="4493" xr:uid="{00000000-0005-0000-0000-0000BA130000}"/>
    <cellStyle name="差 4 2 2" xfId="5982" xr:uid="{00000000-0005-0000-0000-0000BB130000}"/>
    <cellStyle name="差 4 3" xfId="5981" xr:uid="{00000000-0005-0000-0000-0000BC130000}"/>
    <cellStyle name="差_13年度反省書(SR係)" xfId="2721" xr:uid="{00000000-0005-0000-0000-0000BD130000}"/>
    <cellStyle name="差_IC全体スケジュール" xfId="4494" xr:uid="{00000000-0005-0000-0000-0000BE130000}"/>
    <cellStyle name="差_Release_Bug_Analyse" xfId="4495" xr:uid="{00000000-0005-0000-0000-0000BF130000}"/>
    <cellStyle name="差_Release_Bug_Analyse 2" xfId="4496" xr:uid="{00000000-0005-0000-0000-0000C0130000}"/>
    <cellStyle name="差_Release_Bug_Analyse 2 2" xfId="4497" xr:uid="{00000000-0005-0000-0000-0000C1130000}"/>
    <cellStyle name="差_Release_Bug_Analyse 2 2 2" xfId="4498" xr:uid="{00000000-0005-0000-0000-0000C2130000}"/>
    <cellStyle name="差_Release_Bug_Analyse 2 2 2 2" xfId="4499" xr:uid="{00000000-0005-0000-0000-0000C3130000}"/>
    <cellStyle name="差_Release_Bug_Analyse 2 2 2 2 2" xfId="4500" xr:uid="{00000000-0005-0000-0000-0000C4130000}"/>
    <cellStyle name="差_Release_Bug_Analyse 2 2 2 2 2 2" xfId="5988" xr:uid="{00000000-0005-0000-0000-0000C5130000}"/>
    <cellStyle name="差_Release_Bug_Analyse 2 2 2 2 3" xfId="5987" xr:uid="{00000000-0005-0000-0000-0000C6130000}"/>
    <cellStyle name="差_Release_Bug_Analyse 2 2 2 3" xfId="4501" xr:uid="{00000000-0005-0000-0000-0000C7130000}"/>
    <cellStyle name="差_Release_Bug_Analyse 2 2 2 3 2" xfId="4502" xr:uid="{00000000-0005-0000-0000-0000C8130000}"/>
    <cellStyle name="差_Release_Bug_Analyse 2 2 2 3 2 2" xfId="5990" xr:uid="{00000000-0005-0000-0000-0000C9130000}"/>
    <cellStyle name="差_Release_Bug_Analyse 2 2 2 3 3" xfId="5989" xr:uid="{00000000-0005-0000-0000-0000CA130000}"/>
    <cellStyle name="差_Release_Bug_Analyse 2 2 2 4" xfId="4503" xr:uid="{00000000-0005-0000-0000-0000CB130000}"/>
    <cellStyle name="差_Release_Bug_Analyse 2 2 2 4 2" xfId="5991" xr:uid="{00000000-0005-0000-0000-0000CC130000}"/>
    <cellStyle name="差_Release_Bug_Analyse 2 2 2 5" xfId="5986" xr:uid="{00000000-0005-0000-0000-0000CD130000}"/>
    <cellStyle name="差_Release_Bug_Analyse 2 2 3" xfId="4504" xr:uid="{00000000-0005-0000-0000-0000CE130000}"/>
    <cellStyle name="差_Release_Bug_Analyse 2 2 3 2" xfId="4505" xr:uid="{00000000-0005-0000-0000-0000CF130000}"/>
    <cellStyle name="差_Release_Bug_Analyse 2 2 3 2 2" xfId="5993" xr:uid="{00000000-0005-0000-0000-0000D0130000}"/>
    <cellStyle name="差_Release_Bug_Analyse 2 2 3 3" xfId="5992" xr:uid="{00000000-0005-0000-0000-0000D1130000}"/>
    <cellStyle name="差_Release_Bug_Analyse 2 2 4" xfId="4506" xr:uid="{00000000-0005-0000-0000-0000D2130000}"/>
    <cellStyle name="差_Release_Bug_Analyse 2 2 4 2" xfId="5994" xr:uid="{00000000-0005-0000-0000-0000D3130000}"/>
    <cellStyle name="差_Release_Bug_Analyse 2 2 5" xfId="5985" xr:uid="{00000000-0005-0000-0000-0000D4130000}"/>
    <cellStyle name="差_Release_Bug_Analyse 2 3" xfId="4507" xr:uid="{00000000-0005-0000-0000-0000D5130000}"/>
    <cellStyle name="差_Release_Bug_Analyse 2 3 2" xfId="4508" xr:uid="{00000000-0005-0000-0000-0000D6130000}"/>
    <cellStyle name="差_Release_Bug_Analyse 2 3 2 2" xfId="4509" xr:uid="{00000000-0005-0000-0000-0000D7130000}"/>
    <cellStyle name="差_Release_Bug_Analyse 2 3 2 2 2" xfId="5997" xr:uid="{00000000-0005-0000-0000-0000D8130000}"/>
    <cellStyle name="差_Release_Bug_Analyse 2 3 2 3" xfId="5996" xr:uid="{00000000-0005-0000-0000-0000D9130000}"/>
    <cellStyle name="差_Release_Bug_Analyse 2 3 3" xfId="4510" xr:uid="{00000000-0005-0000-0000-0000DA130000}"/>
    <cellStyle name="差_Release_Bug_Analyse 2 3 3 2" xfId="4511" xr:uid="{00000000-0005-0000-0000-0000DB130000}"/>
    <cellStyle name="差_Release_Bug_Analyse 2 3 3 2 2" xfId="5999" xr:uid="{00000000-0005-0000-0000-0000DC130000}"/>
    <cellStyle name="差_Release_Bug_Analyse 2 3 3 3" xfId="5998" xr:uid="{00000000-0005-0000-0000-0000DD130000}"/>
    <cellStyle name="差_Release_Bug_Analyse 2 3 4" xfId="4512" xr:uid="{00000000-0005-0000-0000-0000DE130000}"/>
    <cellStyle name="差_Release_Bug_Analyse 2 3 4 2" xfId="6000" xr:uid="{00000000-0005-0000-0000-0000DF130000}"/>
    <cellStyle name="差_Release_Bug_Analyse 2 3 5" xfId="5995" xr:uid="{00000000-0005-0000-0000-0000E0130000}"/>
    <cellStyle name="差_Release_Bug_Analyse 2 4" xfId="4513" xr:uid="{00000000-0005-0000-0000-0000E1130000}"/>
    <cellStyle name="差_Release_Bug_Analyse 2 4 2" xfId="4514" xr:uid="{00000000-0005-0000-0000-0000E2130000}"/>
    <cellStyle name="差_Release_Bug_Analyse 2 4 2 2" xfId="6002" xr:uid="{00000000-0005-0000-0000-0000E3130000}"/>
    <cellStyle name="差_Release_Bug_Analyse 2 4 3" xfId="6001" xr:uid="{00000000-0005-0000-0000-0000E4130000}"/>
    <cellStyle name="差_Release_Bug_Analyse 2 5" xfId="4515" xr:uid="{00000000-0005-0000-0000-0000E5130000}"/>
    <cellStyle name="差_Release_Bug_Analyse 2 5 2" xfId="6003" xr:uid="{00000000-0005-0000-0000-0000E6130000}"/>
    <cellStyle name="差_Release_Bug_Analyse 2 6" xfId="5984" xr:uid="{00000000-0005-0000-0000-0000E7130000}"/>
    <cellStyle name="差_Release_Bug_Analyse 3" xfId="4516" xr:uid="{00000000-0005-0000-0000-0000E8130000}"/>
    <cellStyle name="差_Release_Bug_Analyse 3 2" xfId="4517" xr:uid="{00000000-0005-0000-0000-0000E9130000}"/>
    <cellStyle name="差_Release_Bug_Analyse 3 2 2" xfId="4518" xr:uid="{00000000-0005-0000-0000-0000EA130000}"/>
    <cellStyle name="差_Release_Bug_Analyse 3 2 2 2" xfId="4519" xr:uid="{00000000-0005-0000-0000-0000EB130000}"/>
    <cellStyle name="差_Release_Bug_Analyse 3 2 2 2 2" xfId="6007" xr:uid="{00000000-0005-0000-0000-0000EC130000}"/>
    <cellStyle name="差_Release_Bug_Analyse 3 2 2 3" xfId="6006" xr:uid="{00000000-0005-0000-0000-0000ED130000}"/>
    <cellStyle name="差_Release_Bug_Analyse 3 2 3" xfId="4520" xr:uid="{00000000-0005-0000-0000-0000EE130000}"/>
    <cellStyle name="差_Release_Bug_Analyse 3 2 3 2" xfId="6008" xr:uid="{00000000-0005-0000-0000-0000EF130000}"/>
    <cellStyle name="差_Release_Bug_Analyse 3 2 4" xfId="6005" xr:uid="{00000000-0005-0000-0000-0000F0130000}"/>
    <cellStyle name="差_Release_Bug_Analyse 3 3" xfId="4521" xr:uid="{00000000-0005-0000-0000-0000F1130000}"/>
    <cellStyle name="差_Release_Bug_Analyse 3 3 2" xfId="4522" xr:uid="{00000000-0005-0000-0000-0000F2130000}"/>
    <cellStyle name="差_Release_Bug_Analyse 3 3 2 2" xfId="6010" xr:uid="{00000000-0005-0000-0000-0000F3130000}"/>
    <cellStyle name="差_Release_Bug_Analyse 3 3 3" xfId="6009" xr:uid="{00000000-0005-0000-0000-0000F4130000}"/>
    <cellStyle name="差_Release_Bug_Analyse 3 4" xfId="4523" xr:uid="{00000000-0005-0000-0000-0000F5130000}"/>
    <cellStyle name="差_Release_Bug_Analyse 3 4 2" xfId="6011" xr:uid="{00000000-0005-0000-0000-0000F6130000}"/>
    <cellStyle name="差_Release_Bug_Analyse 3 5" xfId="6004" xr:uid="{00000000-0005-0000-0000-0000F7130000}"/>
    <cellStyle name="差_Release_Bug_Analyse 4" xfId="4524" xr:uid="{00000000-0005-0000-0000-0000F8130000}"/>
    <cellStyle name="差_Release_Bug_Analyse 4 2" xfId="4525" xr:uid="{00000000-0005-0000-0000-0000F9130000}"/>
    <cellStyle name="差_Release_Bug_Analyse 4 2 2" xfId="4526" xr:uid="{00000000-0005-0000-0000-0000FA130000}"/>
    <cellStyle name="差_Release_Bug_Analyse 4 2 2 2" xfId="6014" xr:uid="{00000000-0005-0000-0000-0000FB130000}"/>
    <cellStyle name="差_Release_Bug_Analyse 4 2 3" xfId="6013" xr:uid="{00000000-0005-0000-0000-0000FC130000}"/>
    <cellStyle name="差_Release_Bug_Analyse 4 3" xfId="4527" xr:uid="{00000000-0005-0000-0000-0000FD130000}"/>
    <cellStyle name="差_Release_Bug_Analyse 4 3 2" xfId="4528" xr:uid="{00000000-0005-0000-0000-0000FE130000}"/>
    <cellStyle name="差_Release_Bug_Analyse 4 3 2 2" xfId="6016" xr:uid="{00000000-0005-0000-0000-0000FF130000}"/>
    <cellStyle name="差_Release_Bug_Analyse 4 3 3" xfId="6015" xr:uid="{00000000-0005-0000-0000-000000140000}"/>
    <cellStyle name="差_Release_Bug_Analyse 4 4" xfId="4529" xr:uid="{00000000-0005-0000-0000-000001140000}"/>
    <cellStyle name="差_Release_Bug_Analyse 4 4 2" xfId="6017" xr:uid="{00000000-0005-0000-0000-000002140000}"/>
    <cellStyle name="差_Release_Bug_Analyse 4 5" xfId="6012" xr:uid="{00000000-0005-0000-0000-000003140000}"/>
    <cellStyle name="差_Release_Bug_Analyse 5" xfId="4530" xr:uid="{00000000-0005-0000-0000-000004140000}"/>
    <cellStyle name="差_Release_Bug_Analyse 5 2" xfId="4531" xr:uid="{00000000-0005-0000-0000-000005140000}"/>
    <cellStyle name="差_Release_Bug_Analyse 5 2 2" xfId="6019" xr:uid="{00000000-0005-0000-0000-000006140000}"/>
    <cellStyle name="差_Release_Bug_Analyse 5 3" xfId="6018" xr:uid="{00000000-0005-0000-0000-000007140000}"/>
    <cellStyle name="差_Release_Bug_Analyse 6" xfId="4532" xr:uid="{00000000-0005-0000-0000-000008140000}"/>
    <cellStyle name="差_Release_Bug_Analyse 6 2" xfId="6020" xr:uid="{00000000-0005-0000-0000-000009140000}"/>
    <cellStyle name="差_Release_Bug_Analyse 7" xfId="5983" xr:uid="{00000000-0005-0000-0000-00000A140000}"/>
    <cellStyle name="差_Release_Bug_Analyse_report_Sample" xfId="4533" xr:uid="{00000000-0005-0000-0000-00000B140000}"/>
    <cellStyle name="差_Release_Bug_Analyse_report_Sample 2" xfId="4534" xr:uid="{00000000-0005-0000-0000-00000C140000}"/>
    <cellStyle name="差_Release_Bug_Analyse_report_Sample 2 2" xfId="4535" xr:uid="{00000000-0005-0000-0000-00000D140000}"/>
    <cellStyle name="差_Release_Bug_Analyse_report_Sample 2 2 2" xfId="4536" xr:uid="{00000000-0005-0000-0000-00000E140000}"/>
    <cellStyle name="差_Release_Bug_Analyse_report_Sample 2 2 2 2" xfId="4537" xr:uid="{00000000-0005-0000-0000-00000F140000}"/>
    <cellStyle name="差_Release_Bug_Analyse_report_Sample 2 2 2 2 2" xfId="4538" xr:uid="{00000000-0005-0000-0000-000010140000}"/>
    <cellStyle name="差_Release_Bug_Analyse_report_Sample 2 2 2 2 2 2" xfId="6026" xr:uid="{00000000-0005-0000-0000-000011140000}"/>
    <cellStyle name="差_Release_Bug_Analyse_report_Sample 2 2 2 2 3" xfId="6025" xr:uid="{00000000-0005-0000-0000-000012140000}"/>
    <cellStyle name="差_Release_Bug_Analyse_report_Sample 2 2 2 3" xfId="4539" xr:uid="{00000000-0005-0000-0000-000013140000}"/>
    <cellStyle name="差_Release_Bug_Analyse_report_Sample 2 2 2 3 2" xfId="4540" xr:uid="{00000000-0005-0000-0000-000014140000}"/>
    <cellStyle name="差_Release_Bug_Analyse_report_Sample 2 2 2 3 2 2" xfId="6028" xr:uid="{00000000-0005-0000-0000-000015140000}"/>
    <cellStyle name="差_Release_Bug_Analyse_report_Sample 2 2 2 3 3" xfId="6027" xr:uid="{00000000-0005-0000-0000-000016140000}"/>
    <cellStyle name="差_Release_Bug_Analyse_report_Sample 2 2 2 4" xfId="4541" xr:uid="{00000000-0005-0000-0000-000017140000}"/>
    <cellStyle name="差_Release_Bug_Analyse_report_Sample 2 2 2 4 2" xfId="6029" xr:uid="{00000000-0005-0000-0000-000018140000}"/>
    <cellStyle name="差_Release_Bug_Analyse_report_Sample 2 2 2 5" xfId="6024" xr:uid="{00000000-0005-0000-0000-000019140000}"/>
    <cellStyle name="差_Release_Bug_Analyse_report_Sample 2 2 3" xfId="4542" xr:uid="{00000000-0005-0000-0000-00001A140000}"/>
    <cellStyle name="差_Release_Bug_Analyse_report_Sample 2 2 3 2" xfId="4543" xr:uid="{00000000-0005-0000-0000-00001B140000}"/>
    <cellStyle name="差_Release_Bug_Analyse_report_Sample 2 2 3 2 2" xfId="6031" xr:uid="{00000000-0005-0000-0000-00001C140000}"/>
    <cellStyle name="差_Release_Bug_Analyse_report_Sample 2 2 3 3" xfId="6030" xr:uid="{00000000-0005-0000-0000-00001D140000}"/>
    <cellStyle name="差_Release_Bug_Analyse_report_Sample 2 2 4" xfId="4544" xr:uid="{00000000-0005-0000-0000-00001E140000}"/>
    <cellStyle name="差_Release_Bug_Analyse_report_Sample 2 2 4 2" xfId="6032" xr:uid="{00000000-0005-0000-0000-00001F140000}"/>
    <cellStyle name="差_Release_Bug_Analyse_report_Sample 2 2 5" xfId="6023" xr:uid="{00000000-0005-0000-0000-000020140000}"/>
    <cellStyle name="差_Release_Bug_Analyse_report_Sample 2 3" xfId="4545" xr:uid="{00000000-0005-0000-0000-000021140000}"/>
    <cellStyle name="差_Release_Bug_Analyse_report_Sample 2 3 2" xfId="4546" xr:uid="{00000000-0005-0000-0000-000022140000}"/>
    <cellStyle name="差_Release_Bug_Analyse_report_Sample 2 3 2 2" xfId="4547" xr:uid="{00000000-0005-0000-0000-000023140000}"/>
    <cellStyle name="差_Release_Bug_Analyse_report_Sample 2 3 2 2 2" xfId="6035" xr:uid="{00000000-0005-0000-0000-000024140000}"/>
    <cellStyle name="差_Release_Bug_Analyse_report_Sample 2 3 2 3" xfId="6034" xr:uid="{00000000-0005-0000-0000-000025140000}"/>
    <cellStyle name="差_Release_Bug_Analyse_report_Sample 2 3 3" xfId="4548" xr:uid="{00000000-0005-0000-0000-000026140000}"/>
    <cellStyle name="差_Release_Bug_Analyse_report_Sample 2 3 3 2" xfId="4549" xr:uid="{00000000-0005-0000-0000-000027140000}"/>
    <cellStyle name="差_Release_Bug_Analyse_report_Sample 2 3 3 2 2" xfId="6037" xr:uid="{00000000-0005-0000-0000-000028140000}"/>
    <cellStyle name="差_Release_Bug_Analyse_report_Sample 2 3 3 3" xfId="6036" xr:uid="{00000000-0005-0000-0000-000029140000}"/>
    <cellStyle name="差_Release_Bug_Analyse_report_Sample 2 3 4" xfId="4550" xr:uid="{00000000-0005-0000-0000-00002A140000}"/>
    <cellStyle name="差_Release_Bug_Analyse_report_Sample 2 3 4 2" xfId="6038" xr:uid="{00000000-0005-0000-0000-00002B140000}"/>
    <cellStyle name="差_Release_Bug_Analyse_report_Sample 2 3 5" xfId="6033" xr:uid="{00000000-0005-0000-0000-00002C140000}"/>
    <cellStyle name="差_Release_Bug_Analyse_report_Sample 2 4" xfId="4551" xr:uid="{00000000-0005-0000-0000-00002D140000}"/>
    <cellStyle name="差_Release_Bug_Analyse_report_Sample 2 4 2" xfId="4552" xr:uid="{00000000-0005-0000-0000-00002E140000}"/>
    <cellStyle name="差_Release_Bug_Analyse_report_Sample 2 4 2 2" xfId="6040" xr:uid="{00000000-0005-0000-0000-00002F140000}"/>
    <cellStyle name="差_Release_Bug_Analyse_report_Sample 2 4 3" xfId="6039" xr:uid="{00000000-0005-0000-0000-000030140000}"/>
    <cellStyle name="差_Release_Bug_Analyse_report_Sample 2 5" xfId="4553" xr:uid="{00000000-0005-0000-0000-000031140000}"/>
    <cellStyle name="差_Release_Bug_Analyse_report_Sample 2 5 2" xfId="6041" xr:uid="{00000000-0005-0000-0000-000032140000}"/>
    <cellStyle name="差_Release_Bug_Analyse_report_Sample 2 6" xfId="6022" xr:uid="{00000000-0005-0000-0000-000033140000}"/>
    <cellStyle name="差_Release_Bug_Analyse_report_Sample 3" xfId="4554" xr:uid="{00000000-0005-0000-0000-000034140000}"/>
    <cellStyle name="差_Release_Bug_Analyse_report_Sample 3 2" xfId="4555" xr:uid="{00000000-0005-0000-0000-000035140000}"/>
    <cellStyle name="差_Release_Bug_Analyse_report_Sample 3 2 2" xfId="4556" xr:uid="{00000000-0005-0000-0000-000036140000}"/>
    <cellStyle name="差_Release_Bug_Analyse_report_Sample 3 2 2 2" xfId="4557" xr:uid="{00000000-0005-0000-0000-000037140000}"/>
    <cellStyle name="差_Release_Bug_Analyse_report_Sample 3 2 2 2 2" xfId="6045" xr:uid="{00000000-0005-0000-0000-000038140000}"/>
    <cellStyle name="差_Release_Bug_Analyse_report_Sample 3 2 2 3" xfId="6044" xr:uid="{00000000-0005-0000-0000-000039140000}"/>
    <cellStyle name="差_Release_Bug_Analyse_report_Sample 3 2 3" xfId="4558" xr:uid="{00000000-0005-0000-0000-00003A140000}"/>
    <cellStyle name="差_Release_Bug_Analyse_report_Sample 3 2 3 2" xfId="6046" xr:uid="{00000000-0005-0000-0000-00003B140000}"/>
    <cellStyle name="差_Release_Bug_Analyse_report_Sample 3 2 4" xfId="6043" xr:uid="{00000000-0005-0000-0000-00003C140000}"/>
    <cellStyle name="差_Release_Bug_Analyse_report_Sample 3 3" xfId="4559" xr:uid="{00000000-0005-0000-0000-00003D140000}"/>
    <cellStyle name="差_Release_Bug_Analyse_report_Sample 3 3 2" xfId="4560" xr:uid="{00000000-0005-0000-0000-00003E140000}"/>
    <cellStyle name="差_Release_Bug_Analyse_report_Sample 3 3 2 2" xfId="6048" xr:uid="{00000000-0005-0000-0000-00003F140000}"/>
    <cellStyle name="差_Release_Bug_Analyse_report_Sample 3 3 3" xfId="6047" xr:uid="{00000000-0005-0000-0000-000040140000}"/>
    <cellStyle name="差_Release_Bug_Analyse_report_Sample 3 4" xfId="4561" xr:uid="{00000000-0005-0000-0000-000041140000}"/>
    <cellStyle name="差_Release_Bug_Analyse_report_Sample 3 4 2" xfId="6049" xr:uid="{00000000-0005-0000-0000-000042140000}"/>
    <cellStyle name="差_Release_Bug_Analyse_report_Sample 3 5" xfId="6042" xr:uid="{00000000-0005-0000-0000-000043140000}"/>
    <cellStyle name="差_Release_Bug_Analyse_report_Sample 4" xfId="4562" xr:uid="{00000000-0005-0000-0000-000044140000}"/>
    <cellStyle name="差_Release_Bug_Analyse_report_Sample 4 2" xfId="4563" xr:uid="{00000000-0005-0000-0000-000045140000}"/>
    <cellStyle name="差_Release_Bug_Analyse_report_Sample 4 2 2" xfId="4564" xr:uid="{00000000-0005-0000-0000-000046140000}"/>
    <cellStyle name="差_Release_Bug_Analyse_report_Sample 4 2 2 2" xfId="6052" xr:uid="{00000000-0005-0000-0000-000047140000}"/>
    <cellStyle name="差_Release_Bug_Analyse_report_Sample 4 2 3" xfId="6051" xr:uid="{00000000-0005-0000-0000-000048140000}"/>
    <cellStyle name="差_Release_Bug_Analyse_report_Sample 4 3" xfId="4565" xr:uid="{00000000-0005-0000-0000-000049140000}"/>
    <cellStyle name="差_Release_Bug_Analyse_report_Sample 4 3 2" xfId="4566" xr:uid="{00000000-0005-0000-0000-00004A140000}"/>
    <cellStyle name="差_Release_Bug_Analyse_report_Sample 4 3 2 2" xfId="6054" xr:uid="{00000000-0005-0000-0000-00004B140000}"/>
    <cellStyle name="差_Release_Bug_Analyse_report_Sample 4 3 3" xfId="6053" xr:uid="{00000000-0005-0000-0000-00004C140000}"/>
    <cellStyle name="差_Release_Bug_Analyse_report_Sample 4 4" xfId="4567" xr:uid="{00000000-0005-0000-0000-00004D140000}"/>
    <cellStyle name="差_Release_Bug_Analyse_report_Sample 4 4 2" xfId="6055" xr:uid="{00000000-0005-0000-0000-00004E140000}"/>
    <cellStyle name="差_Release_Bug_Analyse_report_Sample 4 5" xfId="6050" xr:uid="{00000000-0005-0000-0000-00004F140000}"/>
    <cellStyle name="差_Release_Bug_Analyse_report_Sample 5" xfId="4568" xr:uid="{00000000-0005-0000-0000-000050140000}"/>
    <cellStyle name="差_Release_Bug_Analyse_report_Sample 5 2" xfId="4569" xr:uid="{00000000-0005-0000-0000-000051140000}"/>
    <cellStyle name="差_Release_Bug_Analyse_report_Sample 5 2 2" xfId="6057" xr:uid="{00000000-0005-0000-0000-000052140000}"/>
    <cellStyle name="差_Release_Bug_Analyse_report_Sample 5 3" xfId="6056" xr:uid="{00000000-0005-0000-0000-000053140000}"/>
    <cellStyle name="差_Release_Bug_Analyse_report_Sample 6" xfId="4570" xr:uid="{00000000-0005-0000-0000-000054140000}"/>
    <cellStyle name="差_Release_Bug_Analyse_report_Sample 6 2" xfId="6058" xr:uid="{00000000-0005-0000-0000-000055140000}"/>
    <cellStyle name="差_Release_Bug_Analyse_report_Sample 7" xfId="6021" xr:uid="{00000000-0005-0000-0000-000056140000}"/>
    <cellStyle name="差_Release_Bug_Analyse_report_templete_temp-ver3" xfId="4571" xr:uid="{00000000-0005-0000-0000-000057140000}"/>
    <cellStyle name="差_Release_Bug_Analyse_report_templete_temp-ver3 2" xfId="4572" xr:uid="{00000000-0005-0000-0000-000058140000}"/>
    <cellStyle name="差_Release_Bug_Analyse_report_templete_temp-ver3 2 2" xfId="4573" xr:uid="{00000000-0005-0000-0000-000059140000}"/>
    <cellStyle name="差_Release_Bug_Analyse_report_templete_temp-ver3 2 2 2" xfId="4574" xr:uid="{00000000-0005-0000-0000-00005A140000}"/>
    <cellStyle name="差_Release_Bug_Analyse_report_templete_temp-ver3 2 2 2 2" xfId="4575" xr:uid="{00000000-0005-0000-0000-00005B140000}"/>
    <cellStyle name="差_Release_Bug_Analyse_report_templete_temp-ver3 2 2 2 2 2" xfId="4576" xr:uid="{00000000-0005-0000-0000-00005C140000}"/>
    <cellStyle name="差_Release_Bug_Analyse_report_templete_temp-ver3 2 2 2 2 2 2" xfId="6064" xr:uid="{00000000-0005-0000-0000-00005D140000}"/>
    <cellStyle name="差_Release_Bug_Analyse_report_templete_temp-ver3 2 2 2 2 3" xfId="6063" xr:uid="{00000000-0005-0000-0000-00005E140000}"/>
    <cellStyle name="差_Release_Bug_Analyse_report_templete_temp-ver3 2 2 2 3" xfId="4577" xr:uid="{00000000-0005-0000-0000-00005F140000}"/>
    <cellStyle name="差_Release_Bug_Analyse_report_templete_temp-ver3 2 2 2 3 2" xfId="4578" xr:uid="{00000000-0005-0000-0000-000060140000}"/>
    <cellStyle name="差_Release_Bug_Analyse_report_templete_temp-ver3 2 2 2 3 2 2" xfId="6066" xr:uid="{00000000-0005-0000-0000-000061140000}"/>
    <cellStyle name="差_Release_Bug_Analyse_report_templete_temp-ver3 2 2 2 3 3" xfId="6065" xr:uid="{00000000-0005-0000-0000-000062140000}"/>
    <cellStyle name="差_Release_Bug_Analyse_report_templete_temp-ver3 2 2 2 4" xfId="4579" xr:uid="{00000000-0005-0000-0000-000063140000}"/>
    <cellStyle name="差_Release_Bug_Analyse_report_templete_temp-ver3 2 2 2 4 2" xfId="6067" xr:uid="{00000000-0005-0000-0000-000064140000}"/>
    <cellStyle name="差_Release_Bug_Analyse_report_templete_temp-ver3 2 2 2 5" xfId="6062" xr:uid="{00000000-0005-0000-0000-000065140000}"/>
    <cellStyle name="差_Release_Bug_Analyse_report_templete_temp-ver3 2 2 3" xfId="4580" xr:uid="{00000000-0005-0000-0000-000066140000}"/>
    <cellStyle name="差_Release_Bug_Analyse_report_templete_temp-ver3 2 2 3 2" xfId="4581" xr:uid="{00000000-0005-0000-0000-000067140000}"/>
    <cellStyle name="差_Release_Bug_Analyse_report_templete_temp-ver3 2 2 3 2 2" xfId="6069" xr:uid="{00000000-0005-0000-0000-000068140000}"/>
    <cellStyle name="差_Release_Bug_Analyse_report_templete_temp-ver3 2 2 3 3" xfId="6068" xr:uid="{00000000-0005-0000-0000-000069140000}"/>
    <cellStyle name="差_Release_Bug_Analyse_report_templete_temp-ver3 2 2 4" xfId="4582" xr:uid="{00000000-0005-0000-0000-00006A140000}"/>
    <cellStyle name="差_Release_Bug_Analyse_report_templete_temp-ver3 2 2 4 2" xfId="6070" xr:uid="{00000000-0005-0000-0000-00006B140000}"/>
    <cellStyle name="差_Release_Bug_Analyse_report_templete_temp-ver3 2 2 5" xfId="6061" xr:uid="{00000000-0005-0000-0000-00006C140000}"/>
    <cellStyle name="差_Release_Bug_Analyse_report_templete_temp-ver3 2 3" xfId="4583" xr:uid="{00000000-0005-0000-0000-00006D140000}"/>
    <cellStyle name="差_Release_Bug_Analyse_report_templete_temp-ver3 2 3 2" xfId="4584" xr:uid="{00000000-0005-0000-0000-00006E140000}"/>
    <cellStyle name="差_Release_Bug_Analyse_report_templete_temp-ver3 2 3 2 2" xfId="4585" xr:uid="{00000000-0005-0000-0000-00006F140000}"/>
    <cellStyle name="差_Release_Bug_Analyse_report_templete_temp-ver3 2 3 2 2 2" xfId="6073" xr:uid="{00000000-0005-0000-0000-000070140000}"/>
    <cellStyle name="差_Release_Bug_Analyse_report_templete_temp-ver3 2 3 2 3" xfId="6072" xr:uid="{00000000-0005-0000-0000-000071140000}"/>
    <cellStyle name="差_Release_Bug_Analyse_report_templete_temp-ver3 2 3 3" xfId="4586" xr:uid="{00000000-0005-0000-0000-000072140000}"/>
    <cellStyle name="差_Release_Bug_Analyse_report_templete_temp-ver3 2 3 3 2" xfId="4587" xr:uid="{00000000-0005-0000-0000-000073140000}"/>
    <cellStyle name="差_Release_Bug_Analyse_report_templete_temp-ver3 2 3 3 2 2" xfId="6075" xr:uid="{00000000-0005-0000-0000-000074140000}"/>
    <cellStyle name="差_Release_Bug_Analyse_report_templete_temp-ver3 2 3 3 3" xfId="6074" xr:uid="{00000000-0005-0000-0000-000075140000}"/>
    <cellStyle name="差_Release_Bug_Analyse_report_templete_temp-ver3 2 3 4" xfId="4588" xr:uid="{00000000-0005-0000-0000-000076140000}"/>
    <cellStyle name="差_Release_Bug_Analyse_report_templete_temp-ver3 2 3 4 2" xfId="6076" xr:uid="{00000000-0005-0000-0000-000077140000}"/>
    <cellStyle name="差_Release_Bug_Analyse_report_templete_temp-ver3 2 3 5" xfId="6071" xr:uid="{00000000-0005-0000-0000-000078140000}"/>
    <cellStyle name="差_Release_Bug_Analyse_report_templete_temp-ver3 2 4" xfId="4589" xr:uid="{00000000-0005-0000-0000-000079140000}"/>
    <cellStyle name="差_Release_Bug_Analyse_report_templete_temp-ver3 2 4 2" xfId="4590" xr:uid="{00000000-0005-0000-0000-00007A140000}"/>
    <cellStyle name="差_Release_Bug_Analyse_report_templete_temp-ver3 2 4 2 2" xfId="6078" xr:uid="{00000000-0005-0000-0000-00007B140000}"/>
    <cellStyle name="差_Release_Bug_Analyse_report_templete_temp-ver3 2 4 3" xfId="6077" xr:uid="{00000000-0005-0000-0000-00007C140000}"/>
    <cellStyle name="差_Release_Bug_Analyse_report_templete_temp-ver3 2 5" xfId="4591" xr:uid="{00000000-0005-0000-0000-00007D140000}"/>
    <cellStyle name="差_Release_Bug_Analyse_report_templete_temp-ver3 2 5 2" xfId="6079" xr:uid="{00000000-0005-0000-0000-00007E140000}"/>
    <cellStyle name="差_Release_Bug_Analyse_report_templete_temp-ver3 2 6" xfId="6060" xr:uid="{00000000-0005-0000-0000-00007F140000}"/>
    <cellStyle name="差_Release_Bug_Analyse_report_templete_temp-ver3 3" xfId="4592" xr:uid="{00000000-0005-0000-0000-000080140000}"/>
    <cellStyle name="差_Release_Bug_Analyse_report_templete_temp-ver3 3 2" xfId="4593" xr:uid="{00000000-0005-0000-0000-000081140000}"/>
    <cellStyle name="差_Release_Bug_Analyse_report_templete_temp-ver3 3 2 2" xfId="4594" xr:uid="{00000000-0005-0000-0000-000082140000}"/>
    <cellStyle name="差_Release_Bug_Analyse_report_templete_temp-ver3 3 2 2 2" xfId="4595" xr:uid="{00000000-0005-0000-0000-000083140000}"/>
    <cellStyle name="差_Release_Bug_Analyse_report_templete_temp-ver3 3 2 2 2 2" xfId="6083" xr:uid="{00000000-0005-0000-0000-000084140000}"/>
    <cellStyle name="差_Release_Bug_Analyse_report_templete_temp-ver3 3 2 2 3" xfId="6082" xr:uid="{00000000-0005-0000-0000-000085140000}"/>
    <cellStyle name="差_Release_Bug_Analyse_report_templete_temp-ver3 3 2 3" xfId="4596" xr:uid="{00000000-0005-0000-0000-000086140000}"/>
    <cellStyle name="差_Release_Bug_Analyse_report_templete_temp-ver3 3 2 3 2" xfId="6084" xr:uid="{00000000-0005-0000-0000-000087140000}"/>
    <cellStyle name="差_Release_Bug_Analyse_report_templete_temp-ver3 3 2 4" xfId="6081" xr:uid="{00000000-0005-0000-0000-000088140000}"/>
    <cellStyle name="差_Release_Bug_Analyse_report_templete_temp-ver3 3 3" xfId="4597" xr:uid="{00000000-0005-0000-0000-000089140000}"/>
    <cellStyle name="差_Release_Bug_Analyse_report_templete_temp-ver3 3 3 2" xfId="4598" xr:uid="{00000000-0005-0000-0000-00008A140000}"/>
    <cellStyle name="差_Release_Bug_Analyse_report_templete_temp-ver3 3 3 2 2" xfId="6086" xr:uid="{00000000-0005-0000-0000-00008B140000}"/>
    <cellStyle name="差_Release_Bug_Analyse_report_templete_temp-ver3 3 3 3" xfId="6085" xr:uid="{00000000-0005-0000-0000-00008C140000}"/>
    <cellStyle name="差_Release_Bug_Analyse_report_templete_temp-ver3 3 4" xfId="4599" xr:uid="{00000000-0005-0000-0000-00008D140000}"/>
    <cellStyle name="差_Release_Bug_Analyse_report_templete_temp-ver3 3 4 2" xfId="6087" xr:uid="{00000000-0005-0000-0000-00008E140000}"/>
    <cellStyle name="差_Release_Bug_Analyse_report_templete_temp-ver3 3 5" xfId="6080" xr:uid="{00000000-0005-0000-0000-00008F140000}"/>
    <cellStyle name="差_Release_Bug_Analyse_report_templete_temp-ver3 4" xfId="4600" xr:uid="{00000000-0005-0000-0000-000090140000}"/>
    <cellStyle name="差_Release_Bug_Analyse_report_templete_temp-ver3 4 2" xfId="4601" xr:uid="{00000000-0005-0000-0000-000091140000}"/>
    <cellStyle name="差_Release_Bug_Analyse_report_templete_temp-ver3 4 2 2" xfId="4602" xr:uid="{00000000-0005-0000-0000-000092140000}"/>
    <cellStyle name="差_Release_Bug_Analyse_report_templete_temp-ver3 4 2 2 2" xfId="6090" xr:uid="{00000000-0005-0000-0000-000093140000}"/>
    <cellStyle name="差_Release_Bug_Analyse_report_templete_temp-ver3 4 2 3" xfId="6089" xr:uid="{00000000-0005-0000-0000-000094140000}"/>
    <cellStyle name="差_Release_Bug_Analyse_report_templete_temp-ver3 4 3" xfId="4603" xr:uid="{00000000-0005-0000-0000-000095140000}"/>
    <cellStyle name="差_Release_Bug_Analyse_report_templete_temp-ver3 4 3 2" xfId="4604" xr:uid="{00000000-0005-0000-0000-000096140000}"/>
    <cellStyle name="差_Release_Bug_Analyse_report_templete_temp-ver3 4 3 2 2" xfId="6092" xr:uid="{00000000-0005-0000-0000-000097140000}"/>
    <cellStyle name="差_Release_Bug_Analyse_report_templete_temp-ver3 4 3 3" xfId="6091" xr:uid="{00000000-0005-0000-0000-000098140000}"/>
    <cellStyle name="差_Release_Bug_Analyse_report_templete_temp-ver3 4 4" xfId="4605" xr:uid="{00000000-0005-0000-0000-000099140000}"/>
    <cellStyle name="差_Release_Bug_Analyse_report_templete_temp-ver3 4 4 2" xfId="6093" xr:uid="{00000000-0005-0000-0000-00009A140000}"/>
    <cellStyle name="差_Release_Bug_Analyse_report_templete_temp-ver3 4 5" xfId="6088" xr:uid="{00000000-0005-0000-0000-00009B140000}"/>
    <cellStyle name="差_Release_Bug_Analyse_report_templete_temp-ver3 5" xfId="4606" xr:uid="{00000000-0005-0000-0000-00009C140000}"/>
    <cellStyle name="差_Release_Bug_Analyse_report_templete_temp-ver3 5 2" xfId="4607" xr:uid="{00000000-0005-0000-0000-00009D140000}"/>
    <cellStyle name="差_Release_Bug_Analyse_report_templete_temp-ver3 5 2 2" xfId="6095" xr:uid="{00000000-0005-0000-0000-00009E140000}"/>
    <cellStyle name="差_Release_Bug_Analyse_report_templete_temp-ver3 5 3" xfId="6094" xr:uid="{00000000-0005-0000-0000-00009F140000}"/>
    <cellStyle name="差_Release_Bug_Analyse_report_templete_temp-ver3 6" xfId="4608" xr:uid="{00000000-0005-0000-0000-0000A0140000}"/>
    <cellStyle name="差_Release_Bug_Analyse_report_templete_temp-ver3 6 2" xfId="6096" xr:uid="{00000000-0005-0000-0000-0000A1140000}"/>
    <cellStyle name="差_Release_Bug_Analyse_report_templete_temp-ver3 7" xfId="6059" xr:uid="{00000000-0005-0000-0000-0000A2140000}"/>
    <cellStyle name="差_ReleaseBuglist(QAG)" xfId="4609" xr:uid="{00000000-0005-0000-0000-0000A3140000}"/>
    <cellStyle name="差_ReleaseBuglist(QAG) 2" xfId="4610" xr:uid="{00000000-0005-0000-0000-0000A4140000}"/>
    <cellStyle name="差_ReleaseBuglist(QAG) 2 2" xfId="4611" xr:uid="{00000000-0005-0000-0000-0000A5140000}"/>
    <cellStyle name="差_ReleaseBuglist(QAG) 2 2 2" xfId="4612" xr:uid="{00000000-0005-0000-0000-0000A6140000}"/>
    <cellStyle name="差_ReleaseBuglist(QAG) 2 2 2 2" xfId="4613" xr:uid="{00000000-0005-0000-0000-0000A7140000}"/>
    <cellStyle name="差_ReleaseBuglist(QAG) 2 2 2 2 2" xfId="4614" xr:uid="{00000000-0005-0000-0000-0000A8140000}"/>
    <cellStyle name="差_ReleaseBuglist(QAG) 2 2 2 2 2 2" xfId="6102" xr:uid="{00000000-0005-0000-0000-0000A9140000}"/>
    <cellStyle name="差_ReleaseBuglist(QAG) 2 2 2 2 3" xfId="6101" xr:uid="{00000000-0005-0000-0000-0000AA140000}"/>
    <cellStyle name="差_ReleaseBuglist(QAG) 2 2 2 3" xfId="4615" xr:uid="{00000000-0005-0000-0000-0000AB140000}"/>
    <cellStyle name="差_ReleaseBuglist(QAG) 2 2 2 3 2" xfId="4616" xr:uid="{00000000-0005-0000-0000-0000AC140000}"/>
    <cellStyle name="差_ReleaseBuglist(QAG) 2 2 2 3 2 2" xfId="6104" xr:uid="{00000000-0005-0000-0000-0000AD140000}"/>
    <cellStyle name="差_ReleaseBuglist(QAG) 2 2 2 3 3" xfId="6103" xr:uid="{00000000-0005-0000-0000-0000AE140000}"/>
    <cellStyle name="差_ReleaseBuglist(QAG) 2 2 2 4" xfId="4617" xr:uid="{00000000-0005-0000-0000-0000AF140000}"/>
    <cellStyle name="差_ReleaseBuglist(QAG) 2 2 2 4 2" xfId="6105" xr:uid="{00000000-0005-0000-0000-0000B0140000}"/>
    <cellStyle name="差_ReleaseBuglist(QAG) 2 2 2 5" xfId="6100" xr:uid="{00000000-0005-0000-0000-0000B1140000}"/>
    <cellStyle name="差_ReleaseBuglist(QAG) 2 2 3" xfId="4618" xr:uid="{00000000-0005-0000-0000-0000B2140000}"/>
    <cellStyle name="差_ReleaseBuglist(QAG) 2 2 3 2" xfId="4619" xr:uid="{00000000-0005-0000-0000-0000B3140000}"/>
    <cellStyle name="差_ReleaseBuglist(QAG) 2 2 3 2 2" xfId="6107" xr:uid="{00000000-0005-0000-0000-0000B4140000}"/>
    <cellStyle name="差_ReleaseBuglist(QAG) 2 2 3 3" xfId="6106" xr:uid="{00000000-0005-0000-0000-0000B5140000}"/>
    <cellStyle name="差_ReleaseBuglist(QAG) 2 2 4" xfId="4620" xr:uid="{00000000-0005-0000-0000-0000B6140000}"/>
    <cellStyle name="差_ReleaseBuglist(QAG) 2 2 4 2" xfId="6108" xr:uid="{00000000-0005-0000-0000-0000B7140000}"/>
    <cellStyle name="差_ReleaseBuglist(QAG) 2 2 5" xfId="6099" xr:uid="{00000000-0005-0000-0000-0000B8140000}"/>
    <cellStyle name="差_ReleaseBuglist(QAG) 2 3" xfId="4621" xr:uid="{00000000-0005-0000-0000-0000B9140000}"/>
    <cellStyle name="差_ReleaseBuglist(QAG) 2 3 2" xfId="4622" xr:uid="{00000000-0005-0000-0000-0000BA140000}"/>
    <cellStyle name="差_ReleaseBuglist(QAG) 2 3 2 2" xfId="4623" xr:uid="{00000000-0005-0000-0000-0000BB140000}"/>
    <cellStyle name="差_ReleaseBuglist(QAG) 2 3 2 2 2" xfId="6111" xr:uid="{00000000-0005-0000-0000-0000BC140000}"/>
    <cellStyle name="差_ReleaseBuglist(QAG) 2 3 2 3" xfId="6110" xr:uid="{00000000-0005-0000-0000-0000BD140000}"/>
    <cellStyle name="差_ReleaseBuglist(QAG) 2 3 3" xfId="4624" xr:uid="{00000000-0005-0000-0000-0000BE140000}"/>
    <cellStyle name="差_ReleaseBuglist(QAG) 2 3 3 2" xfId="4625" xr:uid="{00000000-0005-0000-0000-0000BF140000}"/>
    <cellStyle name="差_ReleaseBuglist(QAG) 2 3 3 2 2" xfId="6113" xr:uid="{00000000-0005-0000-0000-0000C0140000}"/>
    <cellStyle name="差_ReleaseBuglist(QAG) 2 3 3 3" xfId="6112" xr:uid="{00000000-0005-0000-0000-0000C1140000}"/>
    <cellStyle name="差_ReleaseBuglist(QAG) 2 3 4" xfId="4626" xr:uid="{00000000-0005-0000-0000-0000C2140000}"/>
    <cellStyle name="差_ReleaseBuglist(QAG) 2 3 4 2" xfId="6114" xr:uid="{00000000-0005-0000-0000-0000C3140000}"/>
    <cellStyle name="差_ReleaseBuglist(QAG) 2 3 5" xfId="6109" xr:uid="{00000000-0005-0000-0000-0000C4140000}"/>
    <cellStyle name="差_ReleaseBuglist(QAG) 2 4" xfId="4627" xr:uid="{00000000-0005-0000-0000-0000C5140000}"/>
    <cellStyle name="差_ReleaseBuglist(QAG) 2 4 2" xfId="4628" xr:uid="{00000000-0005-0000-0000-0000C6140000}"/>
    <cellStyle name="差_ReleaseBuglist(QAG) 2 4 2 2" xfId="6116" xr:uid="{00000000-0005-0000-0000-0000C7140000}"/>
    <cellStyle name="差_ReleaseBuglist(QAG) 2 4 3" xfId="6115" xr:uid="{00000000-0005-0000-0000-0000C8140000}"/>
    <cellStyle name="差_ReleaseBuglist(QAG) 2 5" xfId="4629" xr:uid="{00000000-0005-0000-0000-0000C9140000}"/>
    <cellStyle name="差_ReleaseBuglist(QAG) 2 5 2" xfId="6117" xr:uid="{00000000-0005-0000-0000-0000CA140000}"/>
    <cellStyle name="差_ReleaseBuglist(QAG) 2 6" xfId="6098" xr:uid="{00000000-0005-0000-0000-0000CB140000}"/>
    <cellStyle name="差_ReleaseBuglist(QAG) 3" xfId="4630" xr:uid="{00000000-0005-0000-0000-0000CC140000}"/>
    <cellStyle name="差_ReleaseBuglist(QAG) 3 2" xfId="4631" xr:uid="{00000000-0005-0000-0000-0000CD140000}"/>
    <cellStyle name="差_ReleaseBuglist(QAG) 3 2 2" xfId="4632" xr:uid="{00000000-0005-0000-0000-0000CE140000}"/>
    <cellStyle name="差_ReleaseBuglist(QAG) 3 2 2 2" xfId="4633" xr:uid="{00000000-0005-0000-0000-0000CF140000}"/>
    <cellStyle name="差_ReleaseBuglist(QAG) 3 2 2 2 2" xfId="6121" xr:uid="{00000000-0005-0000-0000-0000D0140000}"/>
    <cellStyle name="差_ReleaseBuglist(QAG) 3 2 2 3" xfId="6120" xr:uid="{00000000-0005-0000-0000-0000D1140000}"/>
    <cellStyle name="差_ReleaseBuglist(QAG) 3 2 3" xfId="4634" xr:uid="{00000000-0005-0000-0000-0000D2140000}"/>
    <cellStyle name="差_ReleaseBuglist(QAG) 3 2 3 2" xfId="6122" xr:uid="{00000000-0005-0000-0000-0000D3140000}"/>
    <cellStyle name="差_ReleaseBuglist(QAG) 3 2 4" xfId="6119" xr:uid="{00000000-0005-0000-0000-0000D4140000}"/>
    <cellStyle name="差_ReleaseBuglist(QAG) 3 3" xfId="4635" xr:uid="{00000000-0005-0000-0000-0000D5140000}"/>
    <cellStyle name="差_ReleaseBuglist(QAG) 3 3 2" xfId="4636" xr:uid="{00000000-0005-0000-0000-0000D6140000}"/>
    <cellStyle name="差_ReleaseBuglist(QAG) 3 3 2 2" xfId="6124" xr:uid="{00000000-0005-0000-0000-0000D7140000}"/>
    <cellStyle name="差_ReleaseBuglist(QAG) 3 3 3" xfId="6123" xr:uid="{00000000-0005-0000-0000-0000D8140000}"/>
    <cellStyle name="差_ReleaseBuglist(QAG) 3 4" xfId="4637" xr:uid="{00000000-0005-0000-0000-0000D9140000}"/>
    <cellStyle name="差_ReleaseBuglist(QAG) 3 4 2" xfId="6125" xr:uid="{00000000-0005-0000-0000-0000DA140000}"/>
    <cellStyle name="差_ReleaseBuglist(QAG) 3 5" xfId="6118" xr:uid="{00000000-0005-0000-0000-0000DB140000}"/>
    <cellStyle name="差_ReleaseBuglist(QAG) 4" xfId="4638" xr:uid="{00000000-0005-0000-0000-0000DC140000}"/>
    <cellStyle name="差_ReleaseBuglist(QAG) 4 2" xfId="4639" xr:uid="{00000000-0005-0000-0000-0000DD140000}"/>
    <cellStyle name="差_ReleaseBuglist(QAG) 4 2 2" xfId="4640" xr:uid="{00000000-0005-0000-0000-0000DE140000}"/>
    <cellStyle name="差_ReleaseBuglist(QAG) 4 2 2 2" xfId="6128" xr:uid="{00000000-0005-0000-0000-0000DF140000}"/>
    <cellStyle name="差_ReleaseBuglist(QAG) 4 2 3" xfId="6127" xr:uid="{00000000-0005-0000-0000-0000E0140000}"/>
    <cellStyle name="差_ReleaseBuglist(QAG) 4 3" xfId="4641" xr:uid="{00000000-0005-0000-0000-0000E1140000}"/>
    <cellStyle name="差_ReleaseBuglist(QAG) 4 3 2" xfId="4642" xr:uid="{00000000-0005-0000-0000-0000E2140000}"/>
    <cellStyle name="差_ReleaseBuglist(QAG) 4 3 2 2" xfId="6130" xr:uid="{00000000-0005-0000-0000-0000E3140000}"/>
    <cellStyle name="差_ReleaseBuglist(QAG) 4 3 3" xfId="6129" xr:uid="{00000000-0005-0000-0000-0000E4140000}"/>
    <cellStyle name="差_ReleaseBuglist(QAG) 4 4" xfId="4643" xr:uid="{00000000-0005-0000-0000-0000E5140000}"/>
    <cellStyle name="差_ReleaseBuglist(QAG) 4 4 2" xfId="6131" xr:uid="{00000000-0005-0000-0000-0000E6140000}"/>
    <cellStyle name="差_ReleaseBuglist(QAG) 4 5" xfId="6126" xr:uid="{00000000-0005-0000-0000-0000E7140000}"/>
    <cellStyle name="差_ReleaseBuglist(QAG) 5" xfId="4644" xr:uid="{00000000-0005-0000-0000-0000E8140000}"/>
    <cellStyle name="差_ReleaseBuglist(QAG) 5 2" xfId="4645" xr:uid="{00000000-0005-0000-0000-0000E9140000}"/>
    <cellStyle name="差_ReleaseBuglist(QAG) 5 2 2" xfId="6133" xr:uid="{00000000-0005-0000-0000-0000EA140000}"/>
    <cellStyle name="差_ReleaseBuglist(QAG) 5 3" xfId="6132" xr:uid="{00000000-0005-0000-0000-0000EB140000}"/>
    <cellStyle name="差_ReleaseBuglist(QAG) 6" xfId="4646" xr:uid="{00000000-0005-0000-0000-0000EC140000}"/>
    <cellStyle name="差_ReleaseBuglist(QAG) 6 2" xfId="6134" xr:uid="{00000000-0005-0000-0000-0000ED140000}"/>
    <cellStyle name="差_ReleaseBuglist(QAG) 7" xfId="6097" xr:uid="{00000000-0005-0000-0000-0000EE140000}"/>
    <cellStyle name="差_ReleaseBuglist-080215(讨论后)" xfId="4647" xr:uid="{00000000-0005-0000-0000-0000EF140000}"/>
    <cellStyle name="差_ReleaseBuglist-080215(讨论后) 2" xfId="4648" xr:uid="{00000000-0005-0000-0000-0000F0140000}"/>
    <cellStyle name="差_ReleaseBuglist-080215(讨论后) 2 2" xfId="4649" xr:uid="{00000000-0005-0000-0000-0000F1140000}"/>
    <cellStyle name="差_ReleaseBuglist-080215(讨论后) 2 2 2" xfId="4650" xr:uid="{00000000-0005-0000-0000-0000F2140000}"/>
    <cellStyle name="差_ReleaseBuglist-080215(讨论后) 2 2 2 2" xfId="4651" xr:uid="{00000000-0005-0000-0000-0000F3140000}"/>
    <cellStyle name="差_ReleaseBuglist-080215(讨论后) 2 2 2 2 2" xfId="4652" xr:uid="{00000000-0005-0000-0000-0000F4140000}"/>
    <cellStyle name="差_ReleaseBuglist-080215(讨论后) 2 2 2 2 2 2" xfId="6140" xr:uid="{00000000-0005-0000-0000-0000F5140000}"/>
    <cellStyle name="差_ReleaseBuglist-080215(讨论后) 2 2 2 2 3" xfId="6139" xr:uid="{00000000-0005-0000-0000-0000F6140000}"/>
    <cellStyle name="差_ReleaseBuglist-080215(讨论后) 2 2 2 3" xfId="4653" xr:uid="{00000000-0005-0000-0000-0000F7140000}"/>
    <cellStyle name="差_ReleaseBuglist-080215(讨论后) 2 2 2 3 2" xfId="4654" xr:uid="{00000000-0005-0000-0000-0000F8140000}"/>
    <cellStyle name="差_ReleaseBuglist-080215(讨论后) 2 2 2 3 2 2" xfId="6142" xr:uid="{00000000-0005-0000-0000-0000F9140000}"/>
    <cellStyle name="差_ReleaseBuglist-080215(讨论后) 2 2 2 3 3" xfId="6141" xr:uid="{00000000-0005-0000-0000-0000FA140000}"/>
    <cellStyle name="差_ReleaseBuglist-080215(讨论后) 2 2 2 4" xfId="4655" xr:uid="{00000000-0005-0000-0000-0000FB140000}"/>
    <cellStyle name="差_ReleaseBuglist-080215(讨论后) 2 2 2 4 2" xfId="6143" xr:uid="{00000000-0005-0000-0000-0000FC140000}"/>
    <cellStyle name="差_ReleaseBuglist-080215(讨论后) 2 2 2 5" xfId="6138" xr:uid="{00000000-0005-0000-0000-0000FD140000}"/>
    <cellStyle name="差_ReleaseBuglist-080215(讨论后) 2 2 3" xfId="4656" xr:uid="{00000000-0005-0000-0000-0000FE140000}"/>
    <cellStyle name="差_ReleaseBuglist-080215(讨论后) 2 2 3 2" xfId="4657" xr:uid="{00000000-0005-0000-0000-0000FF140000}"/>
    <cellStyle name="差_ReleaseBuglist-080215(讨论后) 2 2 3 2 2" xfId="6145" xr:uid="{00000000-0005-0000-0000-000000150000}"/>
    <cellStyle name="差_ReleaseBuglist-080215(讨论后) 2 2 3 3" xfId="6144" xr:uid="{00000000-0005-0000-0000-000001150000}"/>
    <cellStyle name="差_ReleaseBuglist-080215(讨论后) 2 2 4" xfId="4658" xr:uid="{00000000-0005-0000-0000-000002150000}"/>
    <cellStyle name="差_ReleaseBuglist-080215(讨论后) 2 2 4 2" xfId="6146" xr:uid="{00000000-0005-0000-0000-000003150000}"/>
    <cellStyle name="差_ReleaseBuglist-080215(讨论后) 2 2 5" xfId="6137" xr:uid="{00000000-0005-0000-0000-000004150000}"/>
    <cellStyle name="差_ReleaseBuglist-080215(讨论后) 2 3" xfId="4659" xr:uid="{00000000-0005-0000-0000-000005150000}"/>
    <cellStyle name="差_ReleaseBuglist-080215(讨论后) 2 3 2" xfId="4660" xr:uid="{00000000-0005-0000-0000-000006150000}"/>
    <cellStyle name="差_ReleaseBuglist-080215(讨论后) 2 3 2 2" xfId="4661" xr:uid="{00000000-0005-0000-0000-000007150000}"/>
    <cellStyle name="差_ReleaseBuglist-080215(讨论后) 2 3 2 2 2" xfId="6149" xr:uid="{00000000-0005-0000-0000-000008150000}"/>
    <cellStyle name="差_ReleaseBuglist-080215(讨论后) 2 3 2 3" xfId="6148" xr:uid="{00000000-0005-0000-0000-000009150000}"/>
    <cellStyle name="差_ReleaseBuglist-080215(讨论后) 2 3 3" xfId="4662" xr:uid="{00000000-0005-0000-0000-00000A150000}"/>
    <cellStyle name="差_ReleaseBuglist-080215(讨论后) 2 3 3 2" xfId="4663" xr:uid="{00000000-0005-0000-0000-00000B150000}"/>
    <cellStyle name="差_ReleaseBuglist-080215(讨论后) 2 3 3 2 2" xfId="6151" xr:uid="{00000000-0005-0000-0000-00000C150000}"/>
    <cellStyle name="差_ReleaseBuglist-080215(讨论后) 2 3 3 3" xfId="6150" xr:uid="{00000000-0005-0000-0000-00000D150000}"/>
    <cellStyle name="差_ReleaseBuglist-080215(讨论后) 2 3 4" xfId="4664" xr:uid="{00000000-0005-0000-0000-00000E150000}"/>
    <cellStyle name="差_ReleaseBuglist-080215(讨论后) 2 3 4 2" xfId="6152" xr:uid="{00000000-0005-0000-0000-00000F150000}"/>
    <cellStyle name="差_ReleaseBuglist-080215(讨论后) 2 3 5" xfId="6147" xr:uid="{00000000-0005-0000-0000-000010150000}"/>
    <cellStyle name="差_ReleaseBuglist-080215(讨论后) 2 4" xfId="4665" xr:uid="{00000000-0005-0000-0000-000011150000}"/>
    <cellStyle name="差_ReleaseBuglist-080215(讨论后) 2 4 2" xfId="4666" xr:uid="{00000000-0005-0000-0000-000012150000}"/>
    <cellStyle name="差_ReleaseBuglist-080215(讨论后) 2 4 2 2" xfId="6154" xr:uid="{00000000-0005-0000-0000-000013150000}"/>
    <cellStyle name="差_ReleaseBuglist-080215(讨论后) 2 4 3" xfId="6153" xr:uid="{00000000-0005-0000-0000-000014150000}"/>
    <cellStyle name="差_ReleaseBuglist-080215(讨论后) 2 5" xfId="4667" xr:uid="{00000000-0005-0000-0000-000015150000}"/>
    <cellStyle name="差_ReleaseBuglist-080215(讨论后) 2 5 2" xfId="6155" xr:uid="{00000000-0005-0000-0000-000016150000}"/>
    <cellStyle name="差_ReleaseBuglist-080215(讨论后) 2 6" xfId="6136" xr:uid="{00000000-0005-0000-0000-000017150000}"/>
    <cellStyle name="差_ReleaseBuglist-080215(讨论后) 3" xfId="4668" xr:uid="{00000000-0005-0000-0000-000018150000}"/>
    <cellStyle name="差_ReleaseBuglist-080215(讨论后) 3 2" xfId="4669" xr:uid="{00000000-0005-0000-0000-000019150000}"/>
    <cellStyle name="差_ReleaseBuglist-080215(讨论后) 3 2 2" xfId="4670" xr:uid="{00000000-0005-0000-0000-00001A150000}"/>
    <cellStyle name="差_ReleaseBuglist-080215(讨论后) 3 2 2 2" xfId="4671" xr:uid="{00000000-0005-0000-0000-00001B150000}"/>
    <cellStyle name="差_ReleaseBuglist-080215(讨论后) 3 2 2 2 2" xfId="6159" xr:uid="{00000000-0005-0000-0000-00001C150000}"/>
    <cellStyle name="差_ReleaseBuglist-080215(讨论后) 3 2 2 3" xfId="6158" xr:uid="{00000000-0005-0000-0000-00001D150000}"/>
    <cellStyle name="差_ReleaseBuglist-080215(讨论后) 3 2 3" xfId="4672" xr:uid="{00000000-0005-0000-0000-00001E150000}"/>
    <cellStyle name="差_ReleaseBuglist-080215(讨论后) 3 2 3 2" xfId="6160" xr:uid="{00000000-0005-0000-0000-00001F150000}"/>
    <cellStyle name="差_ReleaseBuglist-080215(讨论后) 3 2 4" xfId="6157" xr:uid="{00000000-0005-0000-0000-000020150000}"/>
    <cellStyle name="差_ReleaseBuglist-080215(讨论后) 3 3" xfId="4673" xr:uid="{00000000-0005-0000-0000-000021150000}"/>
    <cellStyle name="差_ReleaseBuglist-080215(讨论后) 3 3 2" xfId="4674" xr:uid="{00000000-0005-0000-0000-000022150000}"/>
    <cellStyle name="差_ReleaseBuglist-080215(讨论后) 3 3 2 2" xfId="6162" xr:uid="{00000000-0005-0000-0000-000023150000}"/>
    <cellStyle name="差_ReleaseBuglist-080215(讨论后) 3 3 3" xfId="6161" xr:uid="{00000000-0005-0000-0000-000024150000}"/>
    <cellStyle name="差_ReleaseBuglist-080215(讨论后) 3 4" xfId="4675" xr:uid="{00000000-0005-0000-0000-000025150000}"/>
    <cellStyle name="差_ReleaseBuglist-080215(讨论后) 3 4 2" xfId="6163" xr:uid="{00000000-0005-0000-0000-000026150000}"/>
    <cellStyle name="差_ReleaseBuglist-080215(讨论后) 3 5" xfId="6156" xr:uid="{00000000-0005-0000-0000-000027150000}"/>
    <cellStyle name="差_ReleaseBuglist-080215(讨论后) 4" xfId="4676" xr:uid="{00000000-0005-0000-0000-000028150000}"/>
    <cellStyle name="差_ReleaseBuglist-080215(讨论后) 4 2" xfId="4677" xr:uid="{00000000-0005-0000-0000-000029150000}"/>
    <cellStyle name="差_ReleaseBuglist-080215(讨论后) 4 2 2" xfId="4678" xr:uid="{00000000-0005-0000-0000-00002A150000}"/>
    <cellStyle name="差_ReleaseBuglist-080215(讨论后) 4 2 2 2" xfId="6166" xr:uid="{00000000-0005-0000-0000-00002B150000}"/>
    <cellStyle name="差_ReleaseBuglist-080215(讨论后) 4 2 3" xfId="6165" xr:uid="{00000000-0005-0000-0000-00002C150000}"/>
    <cellStyle name="差_ReleaseBuglist-080215(讨论后) 4 3" xfId="4679" xr:uid="{00000000-0005-0000-0000-00002D150000}"/>
    <cellStyle name="差_ReleaseBuglist-080215(讨论后) 4 3 2" xfId="4680" xr:uid="{00000000-0005-0000-0000-00002E150000}"/>
    <cellStyle name="差_ReleaseBuglist-080215(讨论后) 4 3 2 2" xfId="6168" xr:uid="{00000000-0005-0000-0000-00002F150000}"/>
    <cellStyle name="差_ReleaseBuglist-080215(讨论后) 4 3 3" xfId="6167" xr:uid="{00000000-0005-0000-0000-000030150000}"/>
    <cellStyle name="差_ReleaseBuglist-080215(讨论后) 4 4" xfId="4681" xr:uid="{00000000-0005-0000-0000-000031150000}"/>
    <cellStyle name="差_ReleaseBuglist-080215(讨论后) 4 4 2" xfId="6169" xr:uid="{00000000-0005-0000-0000-000032150000}"/>
    <cellStyle name="差_ReleaseBuglist-080215(讨论后) 4 5" xfId="6164" xr:uid="{00000000-0005-0000-0000-000033150000}"/>
    <cellStyle name="差_ReleaseBuglist-080215(讨论后) 5" xfId="4682" xr:uid="{00000000-0005-0000-0000-000034150000}"/>
    <cellStyle name="差_ReleaseBuglist-080215(讨论后) 5 2" xfId="4683" xr:uid="{00000000-0005-0000-0000-000035150000}"/>
    <cellStyle name="差_ReleaseBuglist-080215(讨论后) 5 2 2" xfId="6171" xr:uid="{00000000-0005-0000-0000-000036150000}"/>
    <cellStyle name="差_ReleaseBuglist-080215(讨论后) 5 3" xfId="6170" xr:uid="{00000000-0005-0000-0000-000037150000}"/>
    <cellStyle name="差_ReleaseBuglist-080215(讨论后) 6" xfId="4684" xr:uid="{00000000-0005-0000-0000-000038150000}"/>
    <cellStyle name="差_ReleaseBuglist-080215(讨论后) 6 2" xfId="6172" xr:uid="{00000000-0005-0000-0000-000039150000}"/>
    <cellStyle name="差_ReleaseBuglist-080215(讨论后) 7" xfId="6135" xr:uid="{00000000-0005-0000-0000-00003A150000}"/>
    <cellStyle name="差_ReleaseBuglist-ver3" xfId="4685" xr:uid="{00000000-0005-0000-0000-00003B150000}"/>
    <cellStyle name="差_ReleaseBuglist-ver3 2" xfId="4686" xr:uid="{00000000-0005-0000-0000-00003C150000}"/>
    <cellStyle name="差_ReleaseBuglist-ver3 2 2" xfId="4687" xr:uid="{00000000-0005-0000-0000-00003D150000}"/>
    <cellStyle name="差_ReleaseBuglist-ver3 2 2 2" xfId="4688" xr:uid="{00000000-0005-0000-0000-00003E150000}"/>
    <cellStyle name="差_ReleaseBuglist-ver3 2 2 2 2" xfId="4689" xr:uid="{00000000-0005-0000-0000-00003F150000}"/>
    <cellStyle name="差_ReleaseBuglist-ver3 2 2 2 2 2" xfId="4690" xr:uid="{00000000-0005-0000-0000-000040150000}"/>
    <cellStyle name="差_ReleaseBuglist-ver3 2 2 2 2 2 2" xfId="6178" xr:uid="{00000000-0005-0000-0000-000041150000}"/>
    <cellStyle name="差_ReleaseBuglist-ver3 2 2 2 2 3" xfId="6177" xr:uid="{00000000-0005-0000-0000-000042150000}"/>
    <cellStyle name="差_ReleaseBuglist-ver3 2 2 2 3" xfId="4691" xr:uid="{00000000-0005-0000-0000-000043150000}"/>
    <cellStyle name="差_ReleaseBuglist-ver3 2 2 2 3 2" xfId="4692" xr:uid="{00000000-0005-0000-0000-000044150000}"/>
    <cellStyle name="差_ReleaseBuglist-ver3 2 2 2 3 2 2" xfId="6180" xr:uid="{00000000-0005-0000-0000-000045150000}"/>
    <cellStyle name="差_ReleaseBuglist-ver3 2 2 2 3 3" xfId="6179" xr:uid="{00000000-0005-0000-0000-000046150000}"/>
    <cellStyle name="差_ReleaseBuglist-ver3 2 2 2 4" xfId="4693" xr:uid="{00000000-0005-0000-0000-000047150000}"/>
    <cellStyle name="差_ReleaseBuglist-ver3 2 2 2 4 2" xfId="6181" xr:uid="{00000000-0005-0000-0000-000048150000}"/>
    <cellStyle name="差_ReleaseBuglist-ver3 2 2 2 5" xfId="6176" xr:uid="{00000000-0005-0000-0000-000049150000}"/>
    <cellStyle name="差_ReleaseBuglist-ver3 2 2 3" xfId="4694" xr:uid="{00000000-0005-0000-0000-00004A150000}"/>
    <cellStyle name="差_ReleaseBuglist-ver3 2 2 3 2" xfId="4695" xr:uid="{00000000-0005-0000-0000-00004B150000}"/>
    <cellStyle name="差_ReleaseBuglist-ver3 2 2 3 2 2" xfId="6183" xr:uid="{00000000-0005-0000-0000-00004C150000}"/>
    <cellStyle name="差_ReleaseBuglist-ver3 2 2 3 3" xfId="6182" xr:uid="{00000000-0005-0000-0000-00004D150000}"/>
    <cellStyle name="差_ReleaseBuglist-ver3 2 2 4" xfId="4696" xr:uid="{00000000-0005-0000-0000-00004E150000}"/>
    <cellStyle name="差_ReleaseBuglist-ver3 2 2 4 2" xfId="6184" xr:uid="{00000000-0005-0000-0000-00004F150000}"/>
    <cellStyle name="差_ReleaseBuglist-ver3 2 2 5" xfId="6175" xr:uid="{00000000-0005-0000-0000-000050150000}"/>
    <cellStyle name="差_ReleaseBuglist-ver3 2 3" xfId="4697" xr:uid="{00000000-0005-0000-0000-000051150000}"/>
    <cellStyle name="差_ReleaseBuglist-ver3 2 3 2" xfId="4698" xr:uid="{00000000-0005-0000-0000-000052150000}"/>
    <cellStyle name="差_ReleaseBuglist-ver3 2 3 2 2" xfId="4699" xr:uid="{00000000-0005-0000-0000-000053150000}"/>
    <cellStyle name="差_ReleaseBuglist-ver3 2 3 2 2 2" xfId="6187" xr:uid="{00000000-0005-0000-0000-000054150000}"/>
    <cellStyle name="差_ReleaseBuglist-ver3 2 3 2 3" xfId="6186" xr:uid="{00000000-0005-0000-0000-000055150000}"/>
    <cellStyle name="差_ReleaseBuglist-ver3 2 3 3" xfId="4700" xr:uid="{00000000-0005-0000-0000-000056150000}"/>
    <cellStyle name="差_ReleaseBuglist-ver3 2 3 3 2" xfId="4701" xr:uid="{00000000-0005-0000-0000-000057150000}"/>
    <cellStyle name="差_ReleaseBuglist-ver3 2 3 3 2 2" xfId="6189" xr:uid="{00000000-0005-0000-0000-000058150000}"/>
    <cellStyle name="差_ReleaseBuglist-ver3 2 3 3 3" xfId="6188" xr:uid="{00000000-0005-0000-0000-000059150000}"/>
    <cellStyle name="差_ReleaseBuglist-ver3 2 3 4" xfId="4702" xr:uid="{00000000-0005-0000-0000-00005A150000}"/>
    <cellStyle name="差_ReleaseBuglist-ver3 2 3 4 2" xfId="6190" xr:uid="{00000000-0005-0000-0000-00005B150000}"/>
    <cellStyle name="差_ReleaseBuglist-ver3 2 3 5" xfId="6185" xr:uid="{00000000-0005-0000-0000-00005C150000}"/>
    <cellStyle name="差_ReleaseBuglist-ver3 2 4" xfId="4703" xr:uid="{00000000-0005-0000-0000-00005D150000}"/>
    <cellStyle name="差_ReleaseBuglist-ver3 2 4 2" xfId="4704" xr:uid="{00000000-0005-0000-0000-00005E150000}"/>
    <cellStyle name="差_ReleaseBuglist-ver3 2 4 2 2" xfId="6192" xr:uid="{00000000-0005-0000-0000-00005F150000}"/>
    <cellStyle name="差_ReleaseBuglist-ver3 2 4 3" xfId="6191" xr:uid="{00000000-0005-0000-0000-000060150000}"/>
    <cellStyle name="差_ReleaseBuglist-ver3 2 5" xfId="4705" xr:uid="{00000000-0005-0000-0000-000061150000}"/>
    <cellStyle name="差_ReleaseBuglist-ver3 2 5 2" xfId="6193" xr:uid="{00000000-0005-0000-0000-000062150000}"/>
    <cellStyle name="差_ReleaseBuglist-ver3 2 6" xfId="6174" xr:uid="{00000000-0005-0000-0000-000063150000}"/>
    <cellStyle name="差_ReleaseBuglist-ver3 3" xfId="4706" xr:uid="{00000000-0005-0000-0000-000064150000}"/>
    <cellStyle name="差_ReleaseBuglist-ver3 3 2" xfId="4707" xr:uid="{00000000-0005-0000-0000-000065150000}"/>
    <cellStyle name="差_ReleaseBuglist-ver3 3 2 2" xfId="4708" xr:uid="{00000000-0005-0000-0000-000066150000}"/>
    <cellStyle name="差_ReleaseBuglist-ver3 3 2 2 2" xfId="4709" xr:uid="{00000000-0005-0000-0000-000067150000}"/>
    <cellStyle name="差_ReleaseBuglist-ver3 3 2 2 2 2" xfId="6197" xr:uid="{00000000-0005-0000-0000-000068150000}"/>
    <cellStyle name="差_ReleaseBuglist-ver3 3 2 2 3" xfId="6196" xr:uid="{00000000-0005-0000-0000-000069150000}"/>
    <cellStyle name="差_ReleaseBuglist-ver3 3 2 3" xfId="4710" xr:uid="{00000000-0005-0000-0000-00006A150000}"/>
    <cellStyle name="差_ReleaseBuglist-ver3 3 2 3 2" xfId="6198" xr:uid="{00000000-0005-0000-0000-00006B150000}"/>
    <cellStyle name="差_ReleaseBuglist-ver3 3 2 4" xfId="6195" xr:uid="{00000000-0005-0000-0000-00006C150000}"/>
    <cellStyle name="差_ReleaseBuglist-ver3 3 3" xfId="4711" xr:uid="{00000000-0005-0000-0000-00006D150000}"/>
    <cellStyle name="差_ReleaseBuglist-ver3 3 3 2" xfId="4712" xr:uid="{00000000-0005-0000-0000-00006E150000}"/>
    <cellStyle name="差_ReleaseBuglist-ver3 3 3 2 2" xfId="6200" xr:uid="{00000000-0005-0000-0000-00006F150000}"/>
    <cellStyle name="差_ReleaseBuglist-ver3 3 3 3" xfId="6199" xr:uid="{00000000-0005-0000-0000-000070150000}"/>
    <cellStyle name="差_ReleaseBuglist-ver3 3 4" xfId="4713" xr:uid="{00000000-0005-0000-0000-000071150000}"/>
    <cellStyle name="差_ReleaseBuglist-ver3 3 4 2" xfId="6201" xr:uid="{00000000-0005-0000-0000-000072150000}"/>
    <cellStyle name="差_ReleaseBuglist-ver3 3 5" xfId="6194" xr:uid="{00000000-0005-0000-0000-000073150000}"/>
    <cellStyle name="差_ReleaseBuglist-ver3 4" xfId="4714" xr:uid="{00000000-0005-0000-0000-000074150000}"/>
    <cellStyle name="差_ReleaseBuglist-ver3 4 2" xfId="4715" xr:uid="{00000000-0005-0000-0000-000075150000}"/>
    <cellStyle name="差_ReleaseBuglist-ver3 4 2 2" xfId="4716" xr:uid="{00000000-0005-0000-0000-000076150000}"/>
    <cellStyle name="差_ReleaseBuglist-ver3 4 2 2 2" xfId="6204" xr:uid="{00000000-0005-0000-0000-000077150000}"/>
    <cellStyle name="差_ReleaseBuglist-ver3 4 2 3" xfId="6203" xr:uid="{00000000-0005-0000-0000-000078150000}"/>
    <cellStyle name="差_ReleaseBuglist-ver3 4 3" xfId="4717" xr:uid="{00000000-0005-0000-0000-000079150000}"/>
    <cellStyle name="差_ReleaseBuglist-ver3 4 3 2" xfId="4718" xr:uid="{00000000-0005-0000-0000-00007A150000}"/>
    <cellStyle name="差_ReleaseBuglist-ver3 4 3 2 2" xfId="6206" xr:uid="{00000000-0005-0000-0000-00007B150000}"/>
    <cellStyle name="差_ReleaseBuglist-ver3 4 3 3" xfId="6205" xr:uid="{00000000-0005-0000-0000-00007C150000}"/>
    <cellStyle name="差_ReleaseBuglist-ver3 4 4" xfId="4719" xr:uid="{00000000-0005-0000-0000-00007D150000}"/>
    <cellStyle name="差_ReleaseBuglist-ver3 4 4 2" xfId="6207" xr:uid="{00000000-0005-0000-0000-00007E150000}"/>
    <cellStyle name="差_ReleaseBuglist-ver3 4 5" xfId="6202" xr:uid="{00000000-0005-0000-0000-00007F150000}"/>
    <cellStyle name="差_ReleaseBuglist-ver3 5" xfId="4720" xr:uid="{00000000-0005-0000-0000-000080150000}"/>
    <cellStyle name="差_ReleaseBuglist-ver3 5 2" xfId="4721" xr:uid="{00000000-0005-0000-0000-000081150000}"/>
    <cellStyle name="差_ReleaseBuglist-ver3 5 2 2" xfId="6209" xr:uid="{00000000-0005-0000-0000-000082150000}"/>
    <cellStyle name="差_ReleaseBuglist-ver3 5 3" xfId="6208" xr:uid="{00000000-0005-0000-0000-000083150000}"/>
    <cellStyle name="差_ReleaseBuglist-ver3 6" xfId="4722" xr:uid="{00000000-0005-0000-0000-000084150000}"/>
    <cellStyle name="差_ReleaseBuglist-ver3 6 2" xfId="6210" xr:uid="{00000000-0005-0000-0000-000085150000}"/>
    <cellStyle name="差_ReleaseBuglist-ver3 7" xfId="6173" xr:uid="{00000000-0005-0000-0000-000086150000}"/>
    <cellStyle name="差_Release後不具合分析報告" xfId="4723" xr:uid="{00000000-0005-0000-0000-000087150000}"/>
    <cellStyle name="差_Release後不具合分析報告 2" xfId="4724" xr:uid="{00000000-0005-0000-0000-000088150000}"/>
    <cellStyle name="差_Release後不具合分析報告 2 2" xfId="4725" xr:uid="{00000000-0005-0000-0000-000089150000}"/>
    <cellStyle name="差_Release後不具合分析報告 2 2 2" xfId="4726" xr:uid="{00000000-0005-0000-0000-00008A150000}"/>
    <cellStyle name="差_Release後不具合分析報告 2 2 2 2" xfId="4727" xr:uid="{00000000-0005-0000-0000-00008B150000}"/>
    <cellStyle name="差_Release後不具合分析報告 2 2 2 2 2" xfId="4728" xr:uid="{00000000-0005-0000-0000-00008C150000}"/>
    <cellStyle name="差_Release後不具合分析報告 2 2 2 2 2 2" xfId="6216" xr:uid="{00000000-0005-0000-0000-00008D150000}"/>
    <cellStyle name="差_Release後不具合分析報告 2 2 2 2 3" xfId="6215" xr:uid="{00000000-0005-0000-0000-00008E150000}"/>
    <cellStyle name="差_Release後不具合分析報告 2 2 2 3" xfId="4729" xr:uid="{00000000-0005-0000-0000-00008F150000}"/>
    <cellStyle name="差_Release後不具合分析報告 2 2 2 3 2" xfId="4730" xr:uid="{00000000-0005-0000-0000-000090150000}"/>
    <cellStyle name="差_Release後不具合分析報告 2 2 2 3 2 2" xfId="6218" xr:uid="{00000000-0005-0000-0000-000091150000}"/>
    <cellStyle name="差_Release後不具合分析報告 2 2 2 3 3" xfId="6217" xr:uid="{00000000-0005-0000-0000-000092150000}"/>
    <cellStyle name="差_Release後不具合分析報告 2 2 2 4" xfId="4731" xr:uid="{00000000-0005-0000-0000-000093150000}"/>
    <cellStyle name="差_Release後不具合分析報告 2 2 2 4 2" xfId="6219" xr:uid="{00000000-0005-0000-0000-000094150000}"/>
    <cellStyle name="差_Release後不具合分析報告 2 2 2 5" xfId="6214" xr:uid="{00000000-0005-0000-0000-000095150000}"/>
    <cellStyle name="差_Release後不具合分析報告 2 2 3" xfId="4732" xr:uid="{00000000-0005-0000-0000-000096150000}"/>
    <cellStyle name="差_Release後不具合分析報告 2 2 3 2" xfId="4733" xr:uid="{00000000-0005-0000-0000-000097150000}"/>
    <cellStyle name="差_Release後不具合分析報告 2 2 3 2 2" xfId="6221" xr:uid="{00000000-0005-0000-0000-000098150000}"/>
    <cellStyle name="差_Release後不具合分析報告 2 2 3 3" xfId="6220" xr:uid="{00000000-0005-0000-0000-000099150000}"/>
    <cellStyle name="差_Release後不具合分析報告 2 2 4" xfId="4734" xr:uid="{00000000-0005-0000-0000-00009A150000}"/>
    <cellStyle name="差_Release後不具合分析報告 2 2 4 2" xfId="6222" xr:uid="{00000000-0005-0000-0000-00009B150000}"/>
    <cellStyle name="差_Release後不具合分析報告 2 2 5" xfId="6213" xr:uid="{00000000-0005-0000-0000-00009C150000}"/>
    <cellStyle name="差_Release後不具合分析報告 2 3" xfId="4735" xr:uid="{00000000-0005-0000-0000-00009D150000}"/>
    <cellStyle name="差_Release後不具合分析報告 2 3 2" xfId="4736" xr:uid="{00000000-0005-0000-0000-00009E150000}"/>
    <cellStyle name="差_Release後不具合分析報告 2 3 2 2" xfId="4737" xr:uid="{00000000-0005-0000-0000-00009F150000}"/>
    <cellStyle name="差_Release後不具合分析報告 2 3 2 2 2" xfId="6225" xr:uid="{00000000-0005-0000-0000-0000A0150000}"/>
    <cellStyle name="差_Release後不具合分析報告 2 3 2 3" xfId="6224" xr:uid="{00000000-0005-0000-0000-0000A1150000}"/>
    <cellStyle name="差_Release後不具合分析報告 2 3 3" xfId="4738" xr:uid="{00000000-0005-0000-0000-0000A2150000}"/>
    <cellStyle name="差_Release後不具合分析報告 2 3 3 2" xfId="4739" xr:uid="{00000000-0005-0000-0000-0000A3150000}"/>
    <cellStyle name="差_Release後不具合分析報告 2 3 3 2 2" xfId="6227" xr:uid="{00000000-0005-0000-0000-0000A4150000}"/>
    <cellStyle name="差_Release後不具合分析報告 2 3 3 3" xfId="6226" xr:uid="{00000000-0005-0000-0000-0000A5150000}"/>
    <cellStyle name="差_Release後不具合分析報告 2 3 4" xfId="4740" xr:uid="{00000000-0005-0000-0000-0000A6150000}"/>
    <cellStyle name="差_Release後不具合分析報告 2 3 4 2" xfId="6228" xr:uid="{00000000-0005-0000-0000-0000A7150000}"/>
    <cellStyle name="差_Release後不具合分析報告 2 3 5" xfId="6223" xr:uid="{00000000-0005-0000-0000-0000A8150000}"/>
    <cellStyle name="差_Release後不具合分析報告 2 4" xfId="4741" xr:uid="{00000000-0005-0000-0000-0000A9150000}"/>
    <cellStyle name="差_Release後不具合分析報告 2 4 2" xfId="4742" xr:uid="{00000000-0005-0000-0000-0000AA150000}"/>
    <cellStyle name="差_Release後不具合分析報告 2 4 2 2" xfId="6230" xr:uid="{00000000-0005-0000-0000-0000AB150000}"/>
    <cellStyle name="差_Release後不具合分析報告 2 4 3" xfId="6229" xr:uid="{00000000-0005-0000-0000-0000AC150000}"/>
    <cellStyle name="差_Release後不具合分析報告 2 5" xfId="4743" xr:uid="{00000000-0005-0000-0000-0000AD150000}"/>
    <cellStyle name="差_Release後不具合分析報告 2 5 2" xfId="6231" xr:uid="{00000000-0005-0000-0000-0000AE150000}"/>
    <cellStyle name="差_Release後不具合分析報告 2 6" xfId="6212" xr:uid="{00000000-0005-0000-0000-0000AF150000}"/>
    <cellStyle name="差_Release後不具合分析報告 3" xfId="4744" xr:uid="{00000000-0005-0000-0000-0000B0150000}"/>
    <cellStyle name="差_Release後不具合分析報告 3 2" xfId="4745" xr:uid="{00000000-0005-0000-0000-0000B1150000}"/>
    <cellStyle name="差_Release後不具合分析報告 3 2 2" xfId="4746" xr:uid="{00000000-0005-0000-0000-0000B2150000}"/>
    <cellStyle name="差_Release後不具合分析報告 3 2 2 2" xfId="4747" xr:uid="{00000000-0005-0000-0000-0000B3150000}"/>
    <cellStyle name="差_Release後不具合分析報告 3 2 2 2 2" xfId="6235" xr:uid="{00000000-0005-0000-0000-0000B4150000}"/>
    <cellStyle name="差_Release後不具合分析報告 3 2 2 3" xfId="6234" xr:uid="{00000000-0005-0000-0000-0000B5150000}"/>
    <cellStyle name="差_Release後不具合分析報告 3 2 3" xfId="4748" xr:uid="{00000000-0005-0000-0000-0000B6150000}"/>
    <cellStyle name="差_Release後不具合分析報告 3 2 3 2" xfId="6236" xr:uid="{00000000-0005-0000-0000-0000B7150000}"/>
    <cellStyle name="差_Release後不具合分析報告 3 2 4" xfId="6233" xr:uid="{00000000-0005-0000-0000-0000B8150000}"/>
    <cellStyle name="差_Release後不具合分析報告 3 3" xfId="4749" xr:uid="{00000000-0005-0000-0000-0000B9150000}"/>
    <cellStyle name="差_Release後不具合分析報告 3 3 2" xfId="4750" xr:uid="{00000000-0005-0000-0000-0000BA150000}"/>
    <cellStyle name="差_Release後不具合分析報告 3 3 2 2" xfId="6238" xr:uid="{00000000-0005-0000-0000-0000BB150000}"/>
    <cellStyle name="差_Release後不具合分析報告 3 3 3" xfId="6237" xr:uid="{00000000-0005-0000-0000-0000BC150000}"/>
    <cellStyle name="差_Release後不具合分析報告 3 4" xfId="4751" xr:uid="{00000000-0005-0000-0000-0000BD150000}"/>
    <cellStyle name="差_Release後不具合分析報告 3 4 2" xfId="6239" xr:uid="{00000000-0005-0000-0000-0000BE150000}"/>
    <cellStyle name="差_Release後不具合分析報告 3 5" xfId="6232" xr:uid="{00000000-0005-0000-0000-0000BF150000}"/>
    <cellStyle name="差_Release後不具合分析報告 4" xfId="4752" xr:uid="{00000000-0005-0000-0000-0000C0150000}"/>
    <cellStyle name="差_Release後不具合分析報告 4 2" xfId="4753" xr:uid="{00000000-0005-0000-0000-0000C1150000}"/>
    <cellStyle name="差_Release後不具合分析報告 4 2 2" xfId="4754" xr:uid="{00000000-0005-0000-0000-0000C2150000}"/>
    <cellStyle name="差_Release後不具合分析報告 4 2 2 2" xfId="6242" xr:uid="{00000000-0005-0000-0000-0000C3150000}"/>
    <cellStyle name="差_Release後不具合分析報告 4 2 3" xfId="6241" xr:uid="{00000000-0005-0000-0000-0000C4150000}"/>
    <cellStyle name="差_Release後不具合分析報告 4 3" xfId="4755" xr:uid="{00000000-0005-0000-0000-0000C5150000}"/>
    <cellStyle name="差_Release後不具合分析報告 4 3 2" xfId="4756" xr:uid="{00000000-0005-0000-0000-0000C6150000}"/>
    <cellStyle name="差_Release後不具合分析報告 4 3 2 2" xfId="6244" xr:uid="{00000000-0005-0000-0000-0000C7150000}"/>
    <cellStyle name="差_Release後不具合分析報告 4 3 3" xfId="6243" xr:uid="{00000000-0005-0000-0000-0000C8150000}"/>
    <cellStyle name="差_Release後不具合分析報告 4 4" xfId="4757" xr:uid="{00000000-0005-0000-0000-0000C9150000}"/>
    <cellStyle name="差_Release後不具合分析報告 4 4 2" xfId="6245" xr:uid="{00000000-0005-0000-0000-0000CA150000}"/>
    <cellStyle name="差_Release後不具合分析報告 4 5" xfId="6240" xr:uid="{00000000-0005-0000-0000-0000CB150000}"/>
    <cellStyle name="差_Release後不具合分析報告 5" xfId="4758" xr:uid="{00000000-0005-0000-0000-0000CC150000}"/>
    <cellStyle name="差_Release後不具合分析報告 5 2" xfId="4759" xr:uid="{00000000-0005-0000-0000-0000CD150000}"/>
    <cellStyle name="差_Release後不具合分析報告 5 2 2" xfId="6247" xr:uid="{00000000-0005-0000-0000-0000CE150000}"/>
    <cellStyle name="差_Release後不具合分析報告 5 3" xfId="6246" xr:uid="{00000000-0005-0000-0000-0000CF150000}"/>
    <cellStyle name="差_Release後不具合分析報告 6" xfId="4760" xr:uid="{00000000-0005-0000-0000-0000D0150000}"/>
    <cellStyle name="差_Release後不具合分析報告 6 2" xfId="6248" xr:uid="{00000000-0005-0000-0000-0000D1150000}"/>
    <cellStyle name="差_Release後不具合分析報告 7" xfId="6211" xr:uid="{00000000-0005-0000-0000-0000D2150000}"/>
    <cellStyle name="事録.xls の変更内容を保存しますか?・_x0007__x0014_" xfId="247" xr:uid="{00000000-0005-0000-0000-0000D3150000}"/>
    <cellStyle name="事録.xls の変更内容を保存しますか?・_x0007__x0014_ 2" xfId="2870" xr:uid="{00000000-0005-0000-0000-0000D4150000}"/>
    <cellStyle name="事録.xls の変更内容を保存しますか?・_x0007__x0014_ 3" xfId="5362" xr:uid="{00000000-0005-0000-0000-0000D5150000}"/>
    <cellStyle name="事録.xls の変更内容を保存しますか?・_x0007__x0014_?s のH_x0006__x000c_?^.xls_x0006__x0014_?NJI1.XLS?Tm_x0002__x000f_標準_JINJI2.XLS?_x0014_b?_x000f_標準_JINJI3" xfId="2722" xr:uid="{00000000-0005-0000-0000-0000D6150000}"/>
    <cellStyle name="事録.xls の変更内容を保存しますか?・_x0007__x0014__2012年度 保全担当者資料" xfId="2723" xr:uid="{00000000-0005-0000-0000-0000D7150000}"/>
    <cellStyle name="集計 2" xfId="2724" xr:uid="{00000000-0005-0000-0000-0000D8150000}"/>
    <cellStyle name="集計 2 2" xfId="2871" xr:uid="{00000000-0005-0000-0000-0000D9150000}"/>
    <cellStyle name="出力 2" xfId="2725" xr:uid="{00000000-0005-0000-0000-0000DA150000}"/>
    <cellStyle name="出力 2 2" xfId="2872" xr:uid="{00000000-0005-0000-0000-0000DB150000}"/>
    <cellStyle name="準" xfId="248" xr:uid="{00000000-0005-0000-0000-0000DC150000}"/>
    <cellStyle name="準_目標達成２" xfId="249" xr:uid="{00000000-0005-0000-0000-0000DD150000}"/>
    <cellStyle name="準_目標達成２ 2" xfId="2873" xr:uid="{00000000-0005-0000-0000-0000DE150000}"/>
    <cellStyle name="準_目標達成２_ﾒﾀﾙ・ｲﾀﾘｱﾝ扉" xfId="2726" xr:uid="{00000000-0005-0000-0000-0000DF150000}"/>
    <cellStyle name="商品ﾏﾆｭｱﾙ" xfId="37" xr:uid="{00000000-0005-0000-0000-0000E0150000}"/>
    <cellStyle name="商品ﾏﾆｭｱﾙ 2" xfId="2874" xr:uid="{00000000-0005-0000-0000-0000E1150000}"/>
    <cellStyle name="小数" xfId="250" xr:uid="{00000000-0005-0000-0000-0000E2150000}"/>
    <cellStyle name="常?_【月報】損益関連(0401～)" xfId="2727" xr:uid="{00000000-0005-0000-0000-0000E3150000}"/>
    <cellStyle name="常规 10 2" xfId="28" xr:uid="{00000000-0005-0000-0000-0000E4150000}"/>
    <cellStyle name="常规 10 2 2" xfId="29" xr:uid="{00000000-0005-0000-0000-0000E5150000}"/>
    <cellStyle name="常规 2" xfId="30" xr:uid="{00000000-0005-0000-0000-0000E6150000}"/>
    <cellStyle name="常规 2 2" xfId="41" xr:uid="{00000000-0005-0000-0000-0000E7150000}"/>
    <cellStyle name="常规 2 3" xfId="4761" xr:uid="{00000000-0005-0000-0000-0000E8150000}"/>
    <cellStyle name="常规 3" xfId="31" xr:uid="{00000000-0005-0000-0000-0000E9150000}"/>
    <cellStyle name="常规 3 2" xfId="4763" xr:uid="{00000000-0005-0000-0000-0000EA150000}"/>
    <cellStyle name="常规 3 2 2" xfId="4764" xr:uid="{00000000-0005-0000-0000-0000EB150000}"/>
    <cellStyle name="常规 3 2 2 2" xfId="4765" xr:uid="{00000000-0005-0000-0000-0000EC150000}"/>
    <cellStyle name="常规 3 2 2 2 2" xfId="4766" xr:uid="{00000000-0005-0000-0000-0000ED150000}"/>
    <cellStyle name="常规 3 2 2 2 2 2" xfId="6253" xr:uid="{00000000-0005-0000-0000-0000EE150000}"/>
    <cellStyle name="常规 3 2 2 2 3" xfId="4767" xr:uid="{00000000-0005-0000-0000-0000EF150000}"/>
    <cellStyle name="常规 3 2 2 2 3 2" xfId="6254" xr:uid="{00000000-0005-0000-0000-0000F0150000}"/>
    <cellStyle name="常规 3 2 2 2 4" xfId="6252" xr:uid="{00000000-0005-0000-0000-0000F1150000}"/>
    <cellStyle name="常规 3 2 2 3" xfId="4768" xr:uid="{00000000-0005-0000-0000-0000F2150000}"/>
    <cellStyle name="常规 3 2 2 3 2" xfId="6255" xr:uid="{00000000-0005-0000-0000-0000F3150000}"/>
    <cellStyle name="常规 3 2 2 4" xfId="6251" xr:uid="{00000000-0005-0000-0000-0000F4150000}"/>
    <cellStyle name="常规 3 2 3" xfId="4769" xr:uid="{00000000-0005-0000-0000-0000F5150000}"/>
    <cellStyle name="常规 3 2 3 2" xfId="4770" xr:uid="{00000000-0005-0000-0000-0000F6150000}"/>
    <cellStyle name="常规 3 2 3 2 2" xfId="6257" xr:uid="{00000000-0005-0000-0000-0000F7150000}"/>
    <cellStyle name="常规 3 2 3 3" xfId="4771" xr:uid="{00000000-0005-0000-0000-0000F8150000}"/>
    <cellStyle name="常规 3 2 3 3 2" xfId="6258" xr:uid="{00000000-0005-0000-0000-0000F9150000}"/>
    <cellStyle name="常规 3 2 3 4" xfId="6256" xr:uid="{00000000-0005-0000-0000-0000FA150000}"/>
    <cellStyle name="常规 3 2 4" xfId="4772" xr:uid="{00000000-0005-0000-0000-0000FB150000}"/>
    <cellStyle name="常规 3 2 4 2" xfId="6259" xr:uid="{00000000-0005-0000-0000-0000FC150000}"/>
    <cellStyle name="常规 3 2 5" xfId="6250" xr:uid="{00000000-0005-0000-0000-0000FD150000}"/>
    <cellStyle name="常规 3 3" xfId="4773" xr:uid="{00000000-0005-0000-0000-0000FE150000}"/>
    <cellStyle name="常规 3 3 2" xfId="4774" xr:uid="{00000000-0005-0000-0000-0000FF150000}"/>
    <cellStyle name="常规 3 3 2 2" xfId="4775" xr:uid="{00000000-0005-0000-0000-000000160000}"/>
    <cellStyle name="常规 3 3 2 2 2" xfId="6262" xr:uid="{00000000-0005-0000-0000-000001160000}"/>
    <cellStyle name="常规 3 3 2 3" xfId="6261" xr:uid="{00000000-0005-0000-0000-000002160000}"/>
    <cellStyle name="常规 3 3 3" xfId="4776" xr:uid="{00000000-0005-0000-0000-000003160000}"/>
    <cellStyle name="常规 3 3 3 2" xfId="6263" xr:uid="{00000000-0005-0000-0000-000004160000}"/>
    <cellStyle name="常规 3 3 4" xfId="6260" xr:uid="{00000000-0005-0000-0000-000005160000}"/>
    <cellStyle name="常规 3 4" xfId="4777" xr:uid="{00000000-0005-0000-0000-000006160000}"/>
    <cellStyle name="常规 3 4 2" xfId="4778" xr:uid="{00000000-0005-0000-0000-000007160000}"/>
    <cellStyle name="常规 3 4 2 2" xfId="6265" xr:uid="{00000000-0005-0000-0000-000008160000}"/>
    <cellStyle name="常规 3 4 3" xfId="4779" xr:uid="{00000000-0005-0000-0000-000009160000}"/>
    <cellStyle name="常规 3 4 3 2" xfId="6266" xr:uid="{00000000-0005-0000-0000-00000A160000}"/>
    <cellStyle name="常规 3 4 4" xfId="6264" xr:uid="{00000000-0005-0000-0000-00000B160000}"/>
    <cellStyle name="常规 3 5" xfId="4780" xr:uid="{00000000-0005-0000-0000-00000C160000}"/>
    <cellStyle name="常规 3 5 2" xfId="6267" xr:uid="{00000000-0005-0000-0000-00000D160000}"/>
    <cellStyle name="常规 3 6" xfId="6249" xr:uid="{00000000-0005-0000-0000-00000E160000}"/>
    <cellStyle name="常规 3 7" xfId="4762" xr:uid="{00000000-0005-0000-0000-00000F160000}"/>
    <cellStyle name="常规 4" xfId="4781" xr:uid="{00000000-0005-0000-0000-000010160000}"/>
    <cellStyle name="常规 4 2" xfId="4782" xr:uid="{00000000-0005-0000-0000-000011160000}"/>
    <cellStyle name="常规 4 2 2" xfId="4783" xr:uid="{00000000-0005-0000-0000-000012160000}"/>
    <cellStyle name="常规 4 2 2 2" xfId="4784" xr:uid="{00000000-0005-0000-0000-000013160000}"/>
    <cellStyle name="常规 4 2 2 2 2" xfId="4785" xr:uid="{00000000-0005-0000-0000-000014160000}"/>
    <cellStyle name="常规 4 2 2 2 2 2" xfId="6272" xr:uid="{00000000-0005-0000-0000-000015160000}"/>
    <cellStyle name="常规 4 2 2 2 3" xfId="4786" xr:uid="{00000000-0005-0000-0000-000016160000}"/>
    <cellStyle name="常规 4 2 2 2 3 2" xfId="6273" xr:uid="{00000000-0005-0000-0000-000017160000}"/>
    <cellStyle name="常规 4 2 2 2 4" xfId="6271" xr:uid="{00000000-0005-0000-0000-000018160000}"/>
    <cellStyle name="常规 4 2 2 3" xfId="4787" xr:uid="{00000000-0005-0000-0000-000019160000}"/>
    <cellStyle name="常规 4 2 2 3 2" xfId="6274" xr:uid="{00000000-0005-0000-0000-00001A160000}"/>
    <cellStyle name="常规 4 2 2 4" xfId="6270" xr:uid="{00000000-0005-0000-0000-00001B160000}"/>
    <cellStyle name="常规 4 2 3" xfId="4788" xr:uid="{00000000-0005-0000-0000-00001C160000}"/>
    <cellStyle name="常规 4 2 3 2" xfId="4789" xr:uid="{00000000-0005-0000-0000-00001D160000}"/>
    <cellStyle name="常规 4 2 3 2 2" xfId="6276" xr:uid="{00000000-0005-0000-0000-00001E160000}"/>
    <cellStyle name="常规 4 2 3 3" xfId="4790" xr:uid="{00000000-0005-0000-0000-00001F160000}"/>
    <cellStyle name="常规 4 2 3 3 2" xfId="6277" xr:uid="{00000000-0005-0000-0000-000020160000}"/>
    <cellStyle name="常规 4 2 3 4" xfId="6275" xr:uid="{00000000-0005-0000-0000-000021160000}"/>
    <cellStyle name="常规 4 2 4" xfId="4791" xr:uid="{00000000-0005-0000-0000-000022160000}"/>
    <cellStyle name="常规 4 2 4 2" xfId="6278" xr:uid="{00000000-0005-0000-0000-000023160000}"/>
    <cellStyle name="常规 4 2 5" xfId="6269" xr:uid="{00000000-0005-0000-0000-000024160000}"/>
    <cellStyle name="常规 4 3" xfId="4792" xr:uid="{00000000-0005-0000-0000-000025160000}"/>
    <cellStyle name="常规 4 3 2" xfId="4793" xr:uid="{00000000-0005-0000-0000-000026160000}"/>
    <cellStyle name="常规 4 3 2 2" xfId="4794" xr:uid="{00000000-0005-0000-0000-000027160000}"/>
    <cellStyle name="常规 4 3 2 2 2" xfId="6281" xr:uid="{00000000-0005-0000-0000-000028160000}"/>
    <cellStyle name="常规 4 3 2 3" xfId="6280" xr:uid="{00000000-0005-0000-0000-000029160000}"/>
    <cellStyle name="常规 4 3 3" xfId="4795" xr:uid="{00000000-0005-0000-0000-00002A160000}"/>
    <cellStyle name="常规 4 3 3 2" xfId="6282" xr:uid="{00000000-0005-0000-0000-00002B160000}"/>
    <cellStyle name="常规 4 3 4" xfId="6279" xr:uid="{00000000-0005-0000-0000-00002C160000}"/>
    <cellStyle name="常规 4 4" xfId="4796" xr:uid="{00000000-0005-0000-0000-00002D160000}"/>
    <cellStyle name="常规 4 4 2" xfId="4797" xr:uid="{00000000-0005-0000-0000-00002E160000}"/>
    <cellStyle name="常规 4 4 2 2" xfId="6284" xr:uid="{00000000-0005-0000-0000-00002F160000}"/>
    <cellStyle name="常规 4 4 3" xfId="4798" xr:uid="{00000000-0005-0000-0000-000030160000}"/>
    <cellStyle name="常规 4 4 3 2" xfId="6285" xr:uid="{00000000-0005-0000-0000-000031160000}"/>
    <cellStyle name="常规 4 4 4" xfId="6283" xr:uid="{00000000-0005-0000-0000-000032160000}"/>
    <cellStyle name="常规 4 5" xfId="4799" xr:uid="{00000000-0005-0000-0000-000033160000}"/>
    <cellStyle name="常规 4 5 2" xfId="6286" xr:uid="{00000000-0005-0000-0000-000034160000}"/>
    <cellStyle name="常规 4 6" xfId="6268" xr:uid="{00000000-0005-0000-0000-000035160000}"/>
    <cellStyle name="常规_(050516)【確定】2005年人員計画（1001）周源" xfId="4800" xr:uid="{00000000-0005-0000-0000-000036160000}"/>
    <cellStyle name="人月" xfId="2728" xr:uid="{00000000-0005-0000-0000-000037160000}"/>
    <cellStyle name="数字" xfId="2729" xr:uid="{00000000-0005-0000-0000-000038160000}"/>
    <cellStyle name="数字1" xfId="2730" xr:uid="{00000000-0005-0000-0000-000039160000}"/>
    <cellStyle name="数字2" xfId="2731" xr:uid="{00000000-0005-0000-0000-00003A160000}"/>
    <cellStyle name="数値" xfId="2732" xr:uid="{00000000-0005-0000-0000-00003B160000}"/>
    <cellStyle name="数値 2" xfId="4801" xr:uid="{00000000-0005-0000-0000-00003C160000}"/>
    <cellStyle name="数値（桁区切り）" xfId="4802" xr:uid="{00000000-0005-0000-0000-00003D160000}"/>
    <cellStyle name="数値_(高雅娟)人事経理係１１年度方策_流通Cobol" xfId="4803" xr:uid="{00000000-0005-0000-0000-00003E160000}"/>
    <cellStyle name="製品通知&quot;-&quot;" xfId="4804" xr:uid="{00000000-0005-0000-0000-00003F160000}"/>
    <cellStyle name="製品通知価格" xfId="4805" xr:uid="{00000000-0005-0000-0000-000040160000}"/>
    <cellStyle name="製品通知日付" xfId="4806" xr:uid="{00000000-0005-0000-0000-000041160000}"/>
    <cellStyle name="製品通知文字列" xfId="4807" xr:uid="{00000000-0005-0000-0000-000042160000}"/>
    <cellStyle name="똿뗦먛귟 [0.00]_PRODUCT DETAIL Q1" xfId="251" xr:uid="{00000000-0005-0000-0000-000043160000}"/>
    <cellStyle name="똿뗦먛귟_PRODUCT DETAIL Q1" xfId="252" xr:uid="{00000000-0005-0000-0000-000044160000}"/>
    <cellStyle name="積算" xfId="253" xr:uid="{00000000-0005-0000-0000-000045160000}"/>
    <cellStyle name="折り返し" xfId="2733" xr:uid="{00000000-0005-0000-0000-000046160000}"/>
    <cellStyle name="説明文 2" xfId="2734" xr:uid="{00000000-0005-0000-0000-000047160000}"/>
    <cellStyle name="説明文 2 2" xfId="2875" xr:uid="{00000000-0005-0000-0000-000048160000}"/>
    <cellStyle name="千位[0]_laroux" xfId="4808" xr:uid="{00000000-0005-0000-0000-000049160000}"/>
    <cellStyle name="千位_laroux" xfId="4809" xr:uid="{00000000-0005-0000-0000-00004A160000}"/>
    <cellStyle name="千位分隔 2" xfId="4810" xr:uid="{00000000-0005-0000-0000-00004B160000}"/>
    <cellStyle name="千位分隔[0]_(050516)【確定】2005年人員計画（1001）周源" xfId="4811" xr:uid="{00000000-0005-0000-0000-00004C160000}"/>
    <cellStyle name="千位分隔_(050516)【確定】2005年人員計画（1001）周源" xfId="4812" xr:uid="{00000000-0005-0000-0000-00004D160000}"/>
    <cellStyle name="脱浦 [0.00]_ Badget Plan-actual" xfId="254" xr:uid="{00000000-0005-0000-0000-00004E160000}"/>
    <cellStyle name="脱浦_ Badget Plan-actual" xfId="255" xr:uid="{00000000-0005-0000-0000-00004F160000}"/>
    <cellStyle name="段落标题1" xfId="4813" xr:uid="{00000000-0005-0000-0000-000050160000}"/>
    <cellStyle name="段落标题2" xfId="4814" xr:uid="{00000000-0005-0000-0000-000051160000}"/>
    <cellStyle name="注释" xfId="2735" xr:uid="{00000000-0005-0000-0000-000052160000}"/>
    <cellStyle name="注释 2" xfId="4815" xr:uid="{00000000-0005-0000-0000-000053160000}"/>
    <cellStyle name="帳票" xfId="2736" xr:uid="{00000000-0005-0000-0000-000054160000}"/>
    <cellStyle name="超??接_5回ＤＲ製品監査結果報告書" xfId="256" xr:uid="{00000000-0005-0000-0000-000055160000}"/>
    <cellStyle name="超级链接" xfId="2737" xr:uid="{00000000-0005-0000-0000-000056160000}"/>
    <cellStyle name="超链接 2" xfId="32" xr:uid="{00000000-0005-0000-0000-000057160000}"/>
    <cellStyle name="超链接 2 2" xfId="4817" xr:uid="{00000000-0005-0000-0000-000058160000}"/>
    <cellStyle name="超链接 2 2 2" xfId="4818" xr:uid="{00000000-0005-0000-0000-000059160000}"/>
    <cellStyle name="超链接 2 2 2 2" xfId="4819" xr:uid="{00000000-0005-0000-0000-00005A160000}"/>
    <cellStyle name="超链接 2 2 2 2 2" xfId="4820" xr:uid="{00000000-0005-0000-0000-00005B160000}"/>
    <cellStyle name="超链接 2 2 2 2 3" xfId="4821" xr:uid="{00000000-0005-0000-0000-00005C160000}"/>
    <cellStyle name="超链接 2 2 2 3" xfId="4822" xr:uid="{00000000-0005-0000-0000-00005D160000}"/>
    <cellStyle name="超链接 2 2 3" xfId="4823" xr:uid="{00000000-0005-0000-0000-00005E160000}"/>
    <cellStyle name="超链接 2 2 3 2" xfId="4824" xr:uid="{00000000-0005-0000-0000-00005F160000}"/>
    <cellStyle name="超链接 2 2 3 3" xfId="4825" xr:uid="{00000000-0005-0000-0000-000060160000}"/>
    <cellStyle name="超链接 2 2 4" xfId="4826" xr:uid="{00000000-0005-0000-0000-000061160000}"/>
    <cellStyle name="超链接 2 3" xfId="4827" xr:uid="{00000000-0005-0000-0000-000062160000}"/>
    <cellStyle name="超链接 2 3 2" xfId="4828" xr:uid="{00000000-0005-0000-0000-000063160000}"/>
    <cellStyle name="超链接 2 3 2 2" xfId="4829" xr:uid="{00000000-0005-0000-0000-000064160000}"/>
    <cellStyle name="超链接 2 3 3" xfId="4830" xr:uid="{00000000-0005-0000-0000-000065160000}"/>
    <cellStyle name="超链接 2 4" xfId="4831" xr:uid="{00000000-0005-0000-0000-000066160000}"/>
    <cellStyle name="超链接 2 4 2" xfId="4832" xr:uid="{00000000-0005-0000-0000-000067160000}"/>
    <cellStyle name="超链接 2 4 3" xfId="4833" xr:uid="{00000000-0005-0000-0000-000068160000}"/>
    <cellStyle name="超链接 2 5" xfId="4834" xr:uid="{00000000-0005-0000-0000-000069160000}"/>
    <cellStyle name="超链接 2 6" xfId="4816" xr:uid="{00000000-0005-0000-0000-00006A160000}"/>
    <cellStyle name="超链接 3" xfId="33" xr:uid="{00000000-0005-0000-0000-00006B160000}"/>
    <cellStyle name="超链接_企業調査表" xfId="4835" xr:uid="{00000000-0005-0000-0000-00006C160000}"/>
    <cellStyle name="通浦 [0.00]_laroux" xfId="2738" xr:uid="{00000000-0005-0000-0000-00006D160000}"/>
    <cellStyle name="通浦_laroux" xfId="2739" xr:uid="{00000000-0005-0000-0000-00006E160000}"/>
    <cellStyle name="通貨 {0.00]_laroux_1" xfId="2740" xr:uid="{00000000-0005-0000-0000-00006F160000}"/>
    <cellStyle name="通貨 2" xfId="2741" xr:uid="{00000000-0005-0000-0000-000070160000}"/>
    <cellStyle name="通貨 2 2" xfId="5400" xr:uid="{00000000-0005-0000-0000-000071160000}"/>
    <cellStyle name="通貨 2 2 2" xfId="5869" xr:uid="{00000000-0005-0000-0000-000072160000}"/>
    <cellStyle name="通貨 2 2 2 2" xfId="6579" xr:uid="{00000000-0005-0000-0000-000073160000}"/>
    <cellStyle name="通貨 2 2 3" xfId="6435" xr:uid="{00000000-0005-0000-0000-000074160000}"/>
    <cellStyle name="通貨 2 3" xfId="5795" xr:uid="{00000000-0005-0000-0000-000075160000}"/>
    <cellStyle name="通貨 2 3 2" xfId="6507" xr:uid="{00000000-0005-0000-0000-000076160000}"/>
    <cellStyle name="通貨 2 4" xfId="5941" xr:uid="{00000000-0005-0000-0000-000077160000}"/>
    <cellStyle name="通貨 3" xfId="2742" xr:uid="{00000000-0005-0000-0000-000078160000}"/>
    <cellStyle name="通貨 3 2" xfId="5401" xr:uid="{00000000-0005-0000-0000-000079160000}"/>
    <cellStyle name="通貨 3 2 2" xfId="5870" xr:uid="{00000000-0005-0000-0000-00007A160000}"/>
    <cellStyle name="通貨 3 2 2 2" xfId="6580" xr:uid="{00000000-0005-0000-0000-00007B160000}"/>
    <cellStyle name="通貨 3 2 3" xfId="6436" xr:uid="{00000000-0005-0000-0000-00007C160000}"/>
    <cellStyle name="通貨 3 3" xfId="5796" xr:uid="{00000000-0005-0000-0000-00007D160000}"/>
    <cellStyle name="通貨 3 3 2" xfId="6508" xr:uid="{00000000-0005-0000-0000-00007E160000}"/>
    <cellStyle name="通貨 3 4" xfId="5942" xr:uid="{00000000-0005-0000-0000-00007F160000}"/>
    <cellStyle name="内ストッパー" xfId="2743" xr:uid="{00000000-0005-0000-0000-000080160000}"/>
    <cellStyle name="日付" xfId="257" xr:uid="{00000000-0005-0000-0000-000081160000}"/>
    <cellStyle name="日报" xfId="4836" xr:uid="{00000000-0005-0000-0000-000082160000}"/>
    <cellStyle name="日报 2" xfId="4837" xr:uid="{00000000-0005-0000-0000-000083160000}"/>
    <cellStyle name="日报 2 2" xfId="4838" xr:uid="{00000000-0005-0000-0000-000084160000}"/>
    <cellStyle name="日报 2 2 2" xfId="4839" xr:uid="{00000000-0005-0000-0000-000085160000}"/>
    <cellStyle name="日报 2 2 2 2" xfId="4840" xr:uid="{00000000-0005-0000-0000-000086160000}"/>
    <cellStyle name="日报 2 2 2 2 2" xfId="4841" xr:uid="{00000000-0005-0000-0000-000087160000}"/>
    <cellStyle name="日报 2 2 2 2 2 2" xfId="5423" xr:uid="{00000000-0005-0000-0000-000088160000}"/>
    <cellStyle name="日报 2 2 2 2 2 2 2" xfId="5888" xr:uid="{00000000-0005-0000-0000-000089160000}"/>
    <cellStyle name="日报 2 2 2 2 2 2 2 2" xfId="6598" xr:uid="{00000000-0005-0000-0000-00008A160000}"/>
    <cellStyle name="日报 2 2 2 2 2 2 3" xfId="6454" xr:uid="{00000000-0005-0000-0000-00008B160000}"/>
    <cellStyle name="日报 2 2 2 2 2 3" xfId="5816" xr:uid="{00000000-0005-0000-0000-00008C160000}"/>
    <cellStyle name="日报 2 2 2 2 2 3 2" xfId="6526" xr:uid="{00000000-0005-0000-0000-00008D160000}"/>
    <cellStyle name="日报 2 2 2 2 2 4" xfId="6292" xr:uid="{00000000-0005-0000-0000-00008E160000}"/>
    <cellStyle name="日报 2 2 2 2 3" xfId="5422" xr:uid="{00000000-0005-0000-0000-00008F160000}"/>
    <cellStyle name="日报 2 2 2 2 3 2" xfId="5887" xr:uid="{00000000-0005-0000-0000-000090160000}"/>
    <cellStyle name="日报 2 2 2 2 3 2 2" xfId="6597" xr:uid="{00000000-0005-0000-0000-000091160000}"/>
    <cellStyle name="日报 2 2 2 2 3 3" xfId="6453" xr:uid="{00000000-0005-0000-0000-000092160000}"/>
    <cellStyle name="日报 2 2 2 2 4" xfId="5815" xr:uid="{00000000-0005-0000-0000-000093160000}"/>
    <cellStyle name="日报 2 2 2 2 4 2" xfId="6525" xr:uid="{00000000-0005-0000-0000-000094160000}"/>
    <cellStyle name="日报 2 2 2 2 5" xfId="6291" xr:uid="{00000000-0005-0000-0000-000095160000}"/>
    <cellStyle name="日报 2 2 2 3" xfId="4842" xr:uid="{00000000-0005-0000-0000-000096160000}"/>
    <cellStyle name="日报 2 2 2 3 2" xfId="4843" xr:uid="{00000000-0005-0000-0000-000097160000}"/>
    <cellStyle name="日报 2 2 2 3 2 2" xfId="5425" xr:uid="{00000000-0005-0000-0000-000098160000}"/>
    <cellStyle name="日报 2 2 2 3 2 2 2" xfId="5890" xr:uid="{00000000-0005-0000-0000-000099160000}"/>
    <cellStyle name="日报 2 2 2 3 2 2 2 2" xfId="6600" xr:uid="{00000000-0005-0000-0000-00009A160000}"/>
    <cellStyle name="日报 2 2 2 3 2 2 3" xfId="6456" xr:uid="{00000000-0005-0000-0000-00009B160000}"/>
    <cellStyle name="日报 2 2 2 3 2 3" xfId="5818" xr:uid="{00000000-0005-0000-0000-00009C160000}"/>
    <cellStyle name="日报 2 2 2 3 2 3 2" xfId="6528" xr:uid="{00000000-0005-0000-0000-00009D160000}"/>
    <cellStyle name="日报 2 2 2 3 2 4" xfId="6294" xr:uid="{00000000-0005-0000-0000-00009E160000}"/>
    <cellStyle name="日报 2 2 2 3 3" xfId="5424" xr:uid="{00000000-0005-0000-0000-00009F160000}"/>
    <cellStyle name="日报 2 2 2 3 3 2" xfId="5889" xr:uid="{00000000-0005-0000-0000-0000A0160000}"/>
    <cellStyle name="日报 2 2 2 3 3 2 2" xfId="6599" xr:uid="{00000000-0005-0000-0000-0000A1160000}"/>
    <cellStyle name="日报 2 2 2 3 3 3" xfId="6455" xr:uid="{00000000-0005-0000-0000-0000A2160000}"/>
    <cellStyle name="日报 2 2 2 3 4" xfId="5817" xr:uid="{00000000-0005-0000-0000-0000A3160000}"/>
    <cellStyle name="日报 2 2 2 3 4 2" xfId="6527" xr:uid="{00000000-0005-0000-0000-0000A4160000}"/>
    <cellStyle name="日报 2 2 2 3 5" xfId="6293" xr:uid="{00000000-0005-0000-0000-0000A5160000}"/>
    <cellStyle name="日报 2 2 2 4" xfId="4844" xr:uid="{00000000-0005-0000-0000-0000A6160000}"/>
    <cellStyle name="日报 2 2 2 4 2" xfId="5426" xr:uid="{00000000-0005-0000-0000-0000A7160000}"/>
    <cellStyle name="日报 2 2 2 4 2 2" xfId="5891" xr:uid="{00000000-0005-0000-0000-0000A8160000}"/>
    <cellStyle name="日报 2 2 2 4 2 2 2" xfId="6601" xr:uid="{00000000-0005-0000-0000-0000A9160000}"/>
    <cellStyle name="日报 2 2 2 4 2 3" xfId="6457" xr:uid="{00000000-0005-0000-0000-0000AA160000}"/>
    <cellStyle name="日报 2 2 2 4 3" xfId="5819" xr:uid="{00000000-0005-0000-0000-0000AB160000}"/>
    <cellStyle name="日报 2 2 2 4 3 2" xfId="6529" xr:uid="{00000000-0005-0000-0000-0000AC160000}"/>
    <cellStyle name="日报 2 2 2 4 4" xfId="6295" xr:uid="{00000000-0005-0000-0000-0000AD160000}"/>
    <cellStyle name="日报 2 2 2 5" xfId="5421" xr:uid="{00000000-0005-0000-0000-0000AE160000}"/>
    <cellStyle name="日报 2 2 2 5 2" xfId="5886" xr:uid="{00000000-0005-0000-0000-0000AF160000}"/>
    <cellStyle name="日报 2 2 2 5 2 2" xfId="6596" xr:uid="{00000000-0005-0000-0000-0000B0160000}"/>
    <cellStyle name="日报 2 2 2 5 3" xfId="6452" xr:uid="{00000000-0005-0000-0000-0000B1160000}"/>
    <cellStyle name="日报 2 2 2 6" xfId="5814" xr:uid="{00000000-0005-0000-0000-0000B2160000}"/>
    <cellStyle name="日报 2 2 2 6 2" xfId="6524" xr:uid="{00000000-0005-0000-0000-0000B3160000}"/>
    <cellStyle name="日报 2 2 2 7" xfId="6290" xr:uid="{00000000-0005-0000-0000-0000B4160000}"/>
    <cellStyle name="日报 2 2 3" xfId="4845" xr:uid="{00000000-0005-0000-0000-0000B5160000}"/>
    <cellStyle name="日报 2 2 3 2" xfId="4846" xr:uid="{00000000-0005-0000-0000-0000B6160000}"/>
    <cellStyle name="日报 2 2 3 2 2" xfId="5428" xr:uid="{00000000-0005-0000-0000-0000B7160000}"/>
    <cellStyle name="日报 2 2 3 2 2 2" xfId="5893" xr:uid="{00000000-0005-0000-0000-0000B8160000}"/>
    <cellStyle name="日报 2 2 3 2 2 2 2" xfId="6603" xr:uid="{00000000-0005-0000-0000-0000B9160000}"/>
    <cellStyle name="日报 2 2 3 2 2 3" xfId="6459" xr:uid="{00000000-0005-0000-0000-0000BA160000}"/>
    <cellStyle name="日报 2 2 3 2 3" xfId="5821" xr:uid="{00000000-0005-0000-0000-0000BB160000}"/>
    <cellStyle name="日报 2 2 3 2 3 2" xfId="6531" xr:uid="{00000000-0005-0000-0000-0000BC160000}"/>
    <cellStyle name="日报 2 2 3 2 4" xfId="6297" xr:uid="{00000000-0005-0000-0000-0000BD160000}"/>
    <cellStyle name="日报 2 2 3 3" xfId="5427" xr:uid="{00000000-0005-0000-0000-0000BE160000}"/>
    <cellStyle name="日报 2 2 3 3 2" xfId="5892" xr:uid="{00000000-0005-0000-0000-0000BF160000}"/>
    <cellStyle name="日报 2 2 3 3 2 2" xfId="6602" xr:uid="{00000000-0005-0000-0000-0000C0160000}"/>
    <cellStyle name="日报 2 2 3 3 3" xfId="6458" xr:uid="{00000000-0005-0000-0000-0000C1160000}"/>
    <cellStyle name="日报 2 2 3 4" xfId="5820" xr:uid="{00000000-0005-0000-0000-0000C2160000}"/>
    <cellStyle name="日报 2 2 3 4 2" xfId="6530" xr:uid="{00000000-0005-0000-0000-0000C3160000}"/>
    <cellStyle name="日报 2 2 3 5" xfId="6296" xr:uid="{00000000-0005-0000-0000-0000C4160000}"/>
    <cellStyle name="日报 2 2 4" xfId="4847" xr:uid="{00000000-0005-0000-0000-0000C5160000}"/>
    <cellStyle name="日报 2 2 4 2" xfId="5429" xr:uid="{00000000-0005-0000-0000-0000C6160000}"/>
    <cellStyle name="日报 2 2 4 2 2" xfId="5894" xr:uid="{00000000-0005-0000-0000-0000C7160000}"/>
    <cellStyle name="日报 2 2 4 2 2 2" xfId="6604" xr:uid="{00000000-0005-0000-0000-0000C8160000}"/>
    <cellStyle name="日报 2 2 4 2 3" xfId="6460" xr:uid="{00000000-0005-0000-0000-0000C9160000}"/>
    <cellStyle name="日报 2 2 4 3" xfId="5822" xr:uid="{00000000-0005-0000-0000-0000CA160000}"/>
    <cellStyle name="日报 2 2 4 3 2" xfId="6532" xr:uid="{00000000-0005-0000-0000-0000CB160000}"/>
    <cellStyle name="日报 2 2 4 4" xfId="6298" xr:uid="{00000000-0005-0000-0000-0000CC160000}"/>
    <cellStyle name="日报 2 2 5" xfId="5420" xr:uid="{00000000-0005-0000-0000-0000CD160000}"/>
    <cellStyle name="日报 2 2 5 2" xfId="5885" xr:uid="{00000000-0005-0000-0000-0000CE160000}"/>
    <cellStyle name="日报 2 2 5 2 2" xfId="6595" xr:uid="{00000000-0005-0000-0000-0000CF160000}"/>
    <cellStyle name="日报 2 2 5 3" xfId="6451" xr:uid="{00000000-0005-0000-0000-0000D0160000}"/>
    <cellStyle name="日报 2 2 6" xfId="5813" xr:uid="{00000000-0005-0000-0000-0000D1160000}"/>
    <cellStyle name="日报 2 2 6 2" xfId="6523" xr:uid="{00000000-0005-0000-0000-0000D2160000}"/>
    <cellStyle name="日报 2 2 7" xfId="6289" xr:uid="{00000000-0005-0000-0000-0000D3160000}"/>
    <cellStyle name="日报 2 3" xfId="4848" xr:uid="{00000000-0005-0000-0000-0000D4160000}"/>
    <cellStyle name="日报 2 3 2" xfId="4849" xr:uid="{00000000-0005-0000-0000-0000D5160000}"/>
    <cellStyle name="日报 2 3 2 2" xfId="4850" xr:uid="{00000000-0005-0000-0000-0000D6160000}"/>
    <cellStyle name="日报 2 3 2 2 2" xfId="5432" xr:uid="{00000000-0005-0000-0000-0000D7160000}"/>
    <cellStyle name="日报 2 3 2 2 2 2" xfId="5897" xr:uid="{00000000-0005-0000-0000-0000D8160000}"/>
    <cellStyle name="日报 2 3 2 2 2 2 2" xfId="6607" xr:uid="{00000000-0005-0000-0000-0000D9160000}"/>
    <cellStyle name="日报 2 3 2 2 2 3" xfId="6463" xr:uid="{00000000-0005-0000-0000-0000DA160000}"/>
    <cellStyle name="日报 2 3 2 2 3" xfId="5825" xr:uid="{00000000-0005-0000-0000-0000DB160000}"/>
    <cellStyle name="日报 2 3 2 2 3 2" xfId="6535" xr:uid="{00000000-0005-0000-0000-0000DC160000}"/>
    <cellStyle name="日报 2 3 2 2 4" xfId="6301" xr:uid="{00000000-0005-0000-0000-0000DD160000}"/>
    <cellStyle name="日报 2 3 2 3" xfId="5431" xr:uid="{00000000-0005-0000-0000-0000DE160000}"/>
    <cellStyle name="日报 2 3 2 3 2" xfId="5896" xr:uid="{00000000-0005-0000-0000-0000DF160000}"/>
    <cellStyle name="日报 2 3 2 3 2 2" xfId="6606" xr:uid="{00000000-0005-0000-0000-0000E0160000}"/>
    <cellStyle name="日报 2 3 2 3 3" xfId="6462" xr:uid="{00000000-0005-0000-0000-0000E1160000}"/>
    <cellStyle name="日报 2 3 2 4" xfId="5824" xr:uid="{00000000-0005-0000-0000-0000E2160000}"/>
    <cellStyle name="日报 2 3 2 4 2" xfId="6534" xr:uid="{00000000-0005-0000-0000-0000E3160000}"/>
    <cellStyle name="日报 2 3 2 5" xfId="6300" xr:uid="{00000000-0005-0000-0000-0000E4160000}"/>
    <cellStyle name="日报 2 3 3" xfId="4851" xr:uid="{00000000-0005-0000-0000-0000E5160000}"/>
    <cellStyle name="日报 2 3 3 2" xfId="4852" xr:uid="{00000000-0005-0000-0000-0000E6160000}"/>
    <cellStyle name="日报 2 3 3 2 2" xfId="5434" xr:uid="{00000000-0005-0000-0000-0000E7160000}"/>
    <cellStyle name="日报 2 3 3 2 2 2" xfId="5899" xr:uid="{00000000-0005-0000-0000-0000E8160000}"/>
    <cellStyle name="日报 2 3 3 2 2 2 2" xfId="6609" xr:uid="{00000000-0005-0000-0000-0000E9160000}"/>
    <cellStyle name="日报 2 3 3 2 2 3" xfId="6465" xr:uid="{00000000-0005-0000-0000-0000EA160000}"/>
    <cellStyle name="日报 2 3 3 2 3" xfId="5827" xr:uid="{00000000-0005-0000-0000-0000EB160000}"/>
    <cellStyle name="日报 2 3 3 2 3 2" xfId="6537" xr:uid="{00000000-0005-0000-0000-0000EC160000}"/>
    <cellStyle name="日报 2 3 3 2 4" xfId="6303" xr:uid="{00000000-0005-0000-0000-0000ED160000}"/>
    <cellStyle name="日报 2 3 3 3" xfId="5433" xr:uid="{00000000-0005-0000-0000-0000EE160000}"/>
    <cellStyle name="日报 2 3 3 3 2" xfId="5898" xr:uid="{00000000-0005-0000-0000-0000EF160000}"/>
    <cellStyle name="日报 2 3 3 3 2 2" xfId="6608" xr:uid="{00000000-0005-0000-0000-0000F0160000}"/>
    <cellStyle name="日报 2 3 3 3 3" xfId="6464" xr:uid="{00000000-0005-0000-0000-0000F1160000}"/>
    <cellStyle name="日报 2 3 3 4" xfId="5826" xr:uid="{00000000-0005-0000-0000-0000F2160000}"/>
    <cellStyle name="日报 2 3 3 4 2" xfId="6536" xr:uid="{00000000-0005-0000-0000-0000F3160000}"/>
    <cellStyle name="日报 2 3 3 5" xfId="6302" xr:uid="{00000000-0005-0000-0000-0000F4160000}"/>
    <cellStyle name="日报 2 3 4" xfId="4853" xr:uid="{00000000-0005-0000-0000-0000F5160000}"/>
    <cellStyle name="日报 2 3 4 2" xfId="5435" xr:uid="{00000000-0005-0000-0000-0000F6160000}"/>
    <cellStyle name="日报 2 3 4 2 2" xfId="5900" xr:uid="{00000000-0005-0000-0000-0000F7160000}"/>
    <cellStyle name="日报 2 3 4 2 2 2" xfId="6610" xr:uid="{00000000-0005-0000-0000-0000F8160000}"/>
    <cellStyle name="日报 2 3 4 2 3" xfId="6466" xr:uid="{00000000-0005-0000-0000-0000F9160000}"/>
    <cellStyle name="日报 2 3 4 3" xfId="5828" xr:uid="{00000000-0005-0000-0000-0000FA160000}"/>
    <cellStyle name="日报 2 3 4 3 2" xfId="6538" xr:uid="{00000000-0005-0000-0000-0000FB160000}"/>
    <cellStyle name="日报 2 3 4 4" xfId="6304" xr:uid="{00000000-0005-0000-0000-0000FC160000}"/>
    <cellStyle name="日报 2 3 5" xfId="5430" xr:uid="{00000000-0005-0000-0000-0000FD160000}"/>
    <cellStyle name="日报 2 3 5 2" xfId="5895" xr:uid="{00000000-0005-0000-0000-0000FE160000}"/>
    <cellStyle name="日报 2 3 5 2 2" xfId="6605" xr:uid="{00000000-0005-0000-0000-0000FF160000}"/>
    <cellStyle name="日报 2 3 5 3" xfId="6461" xr:uid="{00000000-0005-0000-0000-000000170000}"/>
    <cellStyle name="日报 2 3 6" xfId="5823" xr:uid="{00000000-0005-0000-0000-000001170000}"/>
    <cellStyle name="日报 2 3 6 2" xfId="6533" xr:uid="{00000000-0005-0000-0000-000002170000}"/>
    <cellStyle name="日报 2 3 7" xfId="6299" xr:uid="{00000000-0005-0000-0000-000003170000}"/>
    <cellStyle name="日报 2 4" xfId="4854" xr:uid="{00000000-0005-0000-0000-000004170000}"/>
    <cellStyle name="日报 2 4 2" xfId="4855" xr:uid="{00000000-0005-0000-0000-000005170000}"/>
    <cellStyle name="日报 2 4 2 2" xfId="5437" xr:uid="{00000000-0005-0000-0000-000006170000}"/>
    <cellStyle name="日报 2 4 2 2 2" xfId="5902" xr:uid="{00000000-0005-0000-0000-000007170000}"/>
    <cellStyle name="日报 2 4 2 2 2 2" xfId="6612" xr:uid="{00000000-0005-0000-0000-000008170000}"/>
    <cellStyle name="日报 2 4 2 2 3" xfId="6468" xr:uid="{00000000-0005-0000-0000-000009170000}"/>
    <cellStyle name="日报 2 4 2 3" xfId="5830" xr:uid="{00000000-0005-0000-0000-00000A170000}"/>
    <cellStyle name="日报 2 4 2 3 2" xfId="6540" xr:uid="{00000000-0005-0000-0000-00000B170000}"/>
    <cellStyle name="日报 2 4 2 4" xfId="6306" xr:uid="{00000000-0005-0000-0000-00000C170000}"/>
    <cellStyle name="日报 2 4 3" xfId="5436" xr:uid="{00000000-0005-0000-0000-00000D170000}"/>
    <cellStyle name="日报 2 4 3 2" xfId="5901" xr:uid="{00000000-0005-0000-0000-00000E170000}"/>
    <cellStyle name="日报 2 4 3 2 2" xfId="6611" xr:uid="{00000000-0005-0000-0000-00000F170000}"/>
    <cellStyle name="日报 2 4 3 3" xfId="6467" xr:uid="{00000000-0005-0000-0000-000010170000}"/>
    <cellStyle name="日报 2 4 4" xfId="5829" xr:uid="{00000000-0005-0000-0000-000011170000}"/>
    <cellStyle name="日报 2 4 4 2" xfId="6539" xr:uid="{00000000-0005-0000-0000-000012170000}"/>
    <cellStyle name="日报 2 4 5" xfId="6305" xr:uid="{00000000-0005-0000-0000-000013170000}"/>
    <cellStyle name="日报 2 5" xfId="4856" xr:uid="{00000000-0005-0000-0000-000014170000}"/>
    <cellStyle name="日报 2 5 2" xfId="5438" xr:uid="{00000000-0005-0000-0000-000015170000}"/>
    <cellStyle name="日报 2 5 2 2" xfId="5903" xr:uid="{00000000-0005-0000-0000-000016170000}"/>
    <cellStyle name="日报 2 5 2 2 2" xfId="6613" xr:uid="{00000000-0005-0000-0000-000017170000}"/>
    <cellStyle name="日报 2 5 2 3" xfId="6469" xr:uid="{00000000-0005-0000-0000-000018170000}"/>
    <cellStyle name="日报 2 5 3" xfId="5831" xr:uid="{00000000-0005-0000-0000-000019170000}"/>
    <cellStyle name="日报 2 5 3 2" xfId="6541" xr:uid="{00000000-0005-0000-0000-00001A170000}"/>
    <cellStyle name="日报 2 5 4" xfId="6307" xr:uid="{00000000-0005-0000-0000-00001B170000}"/>
    <cellStyle name="日报 2 6" xfId="5419" xr:uid="{00000000-0005-0000-0000-00001C170000}"/>
    <cellStyle name="日报 2 6 2" xfId="5884" xr:uid="{00000000-0005-0000-0000-00001D170000}"/>
    <cellStyle name="日报 2 6 2 2" xfId="6594" xr:uid="{00000000-0005-0000-0000-00001E170000}"/>
    <cellStyle name="日报 2 6 3" xfId="6450" xr:uid="{00000000-0005-0000-0000-00001F170000}"/>
    <cellStyle name="日报 2 7" xfId="5812" xr:uid="{00000000-0005-0000-0000-000020170000}"/>
    <cellStyle name="日报 2 7 2" xfId="6522" xr:uid="{00000000-0005-0000-0000-000021170000}"/>
    <cellStyle name="日报 2 8" xfId="6288" xr:uid="{00000000-0005-0000-0000-000022170000}"/>
    <cellStyle name="日报 3" xfId="4857" xr:uid="{00000000-0005-0000-0000-000023170000}"/>
    <cellStyle name="日报 3 2" xfId="4858" xr:uid="{00000000-0005-0000-0000-000024170000}"/>
    <cellStyle name="日报 3 2 2" xfId="4859" xr:uid="{00000000-0005-0000-0000-000025170000}"/>
    <cellStyle name="日报 3 2 2 2" xfId="4860" xr:uid="{00000000-0005-0000-0000-000026170000}"/>
    <cellStyle name="日报 3 2 2 2 2" xfId="5442" xr:uid="{00000000-0005-0000-0000-000027170000}"/>
    <cellStyle name="日报 3 2 2 2 2 2" xfId="5907" xr:uid="{00000000-0005-0000-0000-000028170000}"/>
    <cellStyle name="日报 3 2 2 2 2 2 2" xfId="6617" xr:uid="{00000000-0005-0000-0000-000029170000}"/>
    <cellStyle name="日报 3 2 2 2 2 3" xfId="6473" xr:uid="{00000000-0005-0000-0000-00002A170000}"/>
    <cellStyle name="日报 3 2 2 2 3" xfId="5835" xr:uid="{00000000-0005-0000-0000-00002B170000}"/>
    <cellStyle name="日报 3 2 2 2 3 2" xfId="6545" xr:uid="{00000000-0005-0000-0000-00002C170000}"/>
    <cellStyle name="日报 3 2 2 2 4" xfId="6311" xr:uid="{00000000-0005-0000-0000-00002D170000}"/>
    <cellStyle name="日报 3 2 2 3" xfId="5441" xr:uid="{00000000-0005-0000-0000-00002E170000}"/>
    <cellStyle name="日报 3 2 2 3 2" xfId="5906" xr:uid="{00000000-0005-0000-0000-00002F170000}"/>
    <cellStyle name="日报 3 2 2 3 2 2" xfId="6616" xr:uid="{00000000-0005-0000-0000-000030170000}"/>
    <cellStyle name="日报 3 2 2 3 3" xfId="6472" xr:uid="{00000000-0005-0000-0000-000031170000}"/>
    <cellStyle name="日报 3 2 2 4" xfId="5834" xr:uid="{00000000-0005-0000-0000-000032170000}"/>
    <cellStyle name="日报 3 2 2 4 2" xfId="6544" xr:uid="{00000000-0005-0000-0000-000033170000}"/>
    <cellStyle name="日报 3 2 2 5" xfId="6310" xr:uid="{00000000-0005-0000-0000-000034170000}"/>
    <cellStyle name="日报 3 2 3" xfId="4861" xr:uid="{00000000-0005-0000-0000-000035170000}"/>
    <cellStyle name="日报 3 2 3 2" xfId="5443" xr:uid="{00000000-0005-0000-0000-000036170000}"/>
    <cellStyle name="日报 3 2 3 2 2" xfId="5908" xr:uid="{00000000-0005-0000-0000-000037170000}"/>
    <cellStyle name="日报 3 2 3 2 2 2" xfId="6618" xr:uid="{00000000-0005-0000-0000-000038170000}"/>
    <cellStyle name="日报 3 2 3 2 3" xfId="6474" xr:uid="{00000000-0005-0000-0000-000039170000}"/>
    <cellStyle name="日报 3 2 3 3" xfId="5836" xr:uid="{00000000-0005-0000-0000-00003A170000}"/>
    <cellStyle name="日报 3 2 3 3 2" xfId="6546" xr:uid="{00000000-0005-0000-0000-00003B170000}"/>
    <cellStyle name="日报 3 2 3 4" xfId="6312" xr:uid="{00000000-0005-0000-0000-00003C170000}"/>
    <cellStyle name="日报 3 2 4" xfId="5440" xr:uid="{00000000-0005-0000-0000-00003D170000}"/>
    <cellStyle name="日报 3 2 4 2" xfId="5905" xr:uid="{00000000-0005-0000-0000-00003E170000}"/>
    <cellStyle name="日报 3 2 4 2 2" xfId="6615" xr:uid="{00000000-0005-0000-0000-00003F170000}"/>
    <cellStyle name="日报 3 2 4 3" xfId="6471" xr:uid="{00000000-0005-0000-0000-000040170000}"/>
    <cellStyle name="日报 3 2 5" xfId="5833" xr:uid="{00000000-0005-0000-0000-000041170000}"/>
    <cellStyle name="日报 3 2 5 2" xfId="6543" xr:uid="{00000000-0005-0000-0000-000042170000}"/>
    <cellStyle name="日报 3 2 6" xfId="6309" xr:uid="{00000000-0005-0000-0000-000043170000}"/>
    <cellStyle name="日报 3 3" xfId="4862" xr:uid="{00000000-0005-0000-0000-000044170000}"/>
    <cellStyle name="日报 3 3 2" xfId="4863" xr:uid="{00000000-0005-0000-0000-000045170000}"/>
    <cellStyle name="日报 3 3 2 2" xfId="5445" xr:uid="{00000000-0005-0000-0000-000046170000}"/>
    <cellStyle name="日报 3 3 2 2 2" xfId="5910" xr:uid="{00000000-0005-0000-0000-000047170000}"/>
    <cellStyle name="日报 3 3 2 2 2 2" xfId="6620" xr:uid="{00000000-0005-0000-0000-000048170000}"/>
    <cellStyle name="日报 3 3 2 2 3" xfId="6476" xr:uid="{00000000-0005-0000-0000-000049170000}"/>
    <cellStyle name="日报 3 3 2 3" xfId="5838" xr:uid="{00000000-0005-0000-0000-00004A170000}"/>
    <cellStyle name="日报 3 3 2 3 2" xfId="6548" xr:uid="{00000000-0005-0000-0000-00004B170000}"/>
    <cellStyle name="日报 3 3 2 4" xfId="6314" xr:uid="{00000000-0005-0000-0000-00004C170000}"/>
    <cellStyle name="日报 3 3 3" xfId="5444" xr:uid="{00000000-0005-0000-0000-00004D170000}"/>
    <cellStyle name="日报 3 3 3 2" xfId="5909" xr:uid="{00000000-0005-0000-0000-00004E170000}"/>
    <cellStyle name="日报 3 3 3 2 2" xfId="6619" xr:uid="{00000000-0005-0000-0000-00004F170000}"/>
    <cellStyle name="日报 3 3 3 3" xfId="6475" xr:uid="{00000000-0005-0000-0000-000050170000}"/>
    <cellStyle name="日报 3 3 4" xfId="5837" xr:uid="{00000000-0005-0000-0000-000051170000}"/>
    <cellStyle name="日报 3 3 4 2" xfId="6547" xr:uid="{00000000-0005-0000-0000-000052170000}"/>
    <cellStyle name="日报 3 3 5" xfId="6313" xr:uid="{00000000-0005-0000-0000-000053170000}"/>
    <cellStyle name="日报 3 4" xfId="4864" xr:uid="{00000000-0005-0000-0000-000054170000}"/>
    <cellStyle name="日报 3 4 2" xfId="5446" xr:uid="{00000000-0005-0000-0000-000055170000}"/>
    <cellStyle name="日报 3 4 2 2" xfId="5911" xr:uid="{00000000-0005-0000-0000-000056170000}"/>
    <cellStyle name="日报 3 4 2 2 2" xfId="6621" xr:uid="{00000000-0005-0000-0000-000057170000}"/>
    <cellStyle name="日报 3 4 2 3" xfId="6477" xr:uid="{00000000-0005-0000-0000-000058170000}"/>
    <cellStyle name="日报 3 4 3" xfId="5839" xr:uid="{00000000-0005-0000-0000-000059170000}"/>
    <cellStyle name="日报 3 4 3 2" xfId="6549" xr:uid="{00000000-0005-0000-0000-00005A170000}"/>
    <cellStyle name="日报 3 4 4" xfId="6315" xr:uid="{00000000-0005-0000-0000-00005B170000}"/>
    <cellStyle name="日报 3 5" xfId="5439" xr:uid="{00000000-0005-0000-0000-00005C170000}"/>
    <cellStyle name="日报 3 5 2" xfId="5904" xr:uid="{00000000-0005-0000-0000-00005D170000}"/>
    <cellStyle name="日报 3 5 2 2" xfId="6614" xr:uid="{00000000-0005-0000-0000-00005E170000}"/>
    <cellStyle name="日报 3 5 3" xfId="6470" xr:uid="{00000000-0005-0000-0000-00005F170000}"/>
    <cellStyle name="日报 3 6" xfId="5832" xr:uid="{00000000-0005-0000-0000-000060170000}"/>
    <cellStyle name="日报 3 6 2" xfId="6542" xr:uid="{00000000-0005-0000-0000-000061170000}"/>
    <cellStyle name="日报 3 7" xfId="6308" xr:uid="{00000000-0005-0000-0000-000062170000}"/>
    <cellStyle name="日报 4" xfId="4865" xr:uid="{00000000-0005-0000-0000-000063170000}"/>
    <cellStyle name="日报 4 2" xfId="4866" xr:uid="{00000000-0005-0000-0000-000064170000}"/>
    <cellStyle name="日报 4 2 2" xfId="4867" xr:uid="{00000000-0005-0000-0000-000065170000}"/>
    <cellStyle name="日报 4 2 2 2" xfId="5449" xr:uid="{00000000-0005-0000-0000-000066170000}"/>
    <cellStyle name="日报 4 2 2 2 2" xfId="5914" xr:uid="{00000000-0005-0000-0000-000067170000}"/>
    <cellStyle name="日报 4 2 2 2 2 2" xfId="6624" xr:uid="{00000000-0005-0000-0000-000068170000}"/>
    <cellStyle name="日报 4 2 2 2 3" xfId="6480" xr:uid="{00000000-0005-0000-0000-000069170000}"/>
    <cellStyle name="日报 4 2 2 3" xfId="5842" xr:uid="{00000000-0005-0000-0000-00006A170000}"/>
    <cellStyle name="日报 4 2 2 3 2" xfId="6552" xr:uid="{00000000-0005-0000-0000-00006B170000}"/>
    <cellStyle name="日报 4 2 2 4" xfId="6318" xr:uid="{00000000-0005-0000-0000-00006C170000}"/>
    <cellStyle name="日报 4 2 3" xfId="5448" xr:uid="{00000000-0005-0000-0000-00006D170000}"/>
    <cellStyle name="日报 4 2 3 2" xfId="5913" xr:uid="{00000000-0005-0000-0000-00006E170000}"/>
    <cellStyle name="日报 4 2 3 2 2" xfId="6623" xr:uid="{00000000-0005-0000-0000-00006F170000}"/>
    <cellStyle name="日报 4 2 3 3" xfId="6479" xr:uid="{00000000-0005-0000-0000-000070170000}"/>
    <cellStyle name="日报 4 2 4" xfId="5841" xr:uid="{00000000-0005-0000-0000-000071170000}"/>
    <cellStyle name="日报 4 2 4 2" xfId="6551" xr:uid="{00000000-0005-0000-0000-000072170000}"/>
    <cellStyle name="日报 4 2 5" xfId="6317" xr:uid="{00000000-0005-0000-0000-000073170000}"/>
    <cellStyle name="日报 4 3" xfId="4868" xr:uid="{00000000-0005-0000-0000-000074170000}"/>
    <cellStyle name="日报 4 3 2" xfId="4869" xr:uid="{00000000-0005-0000-0000-000075170000}"/>
    <cellStyle name="日报 4 3 2 2" xfId="5451" xr:uid="{00000000-0005-0000-0000-000076170000}"/>
    <cellStyle name="日报 4 3 2 2 2" xfId="5916" xr:uid="{00000000-0005-0000-0000-000077170000}"/>
    <cellStyle name="日报 4 3 2 2 2 2" xfId="6626" xr:uid="{00000000-0005-0000-0000-000078170000}"/>
    <cellStyle name="日报 4 3 2 2 3" xfId="6482" xr:uid="{00000000-0005-0000-0000-000079170000}"/>
    <cellStyle name="日报 4 3 2 3" xfId="5844" xr:uid="{00000000-0005-0000-0000-00007A170000}"/>
    <cellStyle name="日报 4 3 2 3 2" xfId="6554" xr:uid="{00000000-0005-0000-0000-00007B170000}"/>
    <cellStyle name="日报 4 3 2 4" xfId="6320" xr:uid="{00000000-0005-0000-0000-00007C170000}"/>
    <cellStyle name="日报 4 3 3" xfId="5450" xr:uid="{00000000-0005-0000-0000-00007D170000}"/>
    <cellStyle name="日报 4 3 3 2" xfId="5915" xr:uid="{00000000-0005-0000-0000-00007E170000}"/>
    <cellStyle name="日报 4 3 3 2 2" xfId="6625" xr:uid="{00000000-0005-0000-0000-00007F170000}"/>
    <cellStyle name="日报 4 3 3 3" xfId="6481" xr:uid="{00000000-0005-0000-0000-000080170000}"/>
    <cellStyle name="日报 4 3 4" xfId="5843" xr:uid="{00000000-0005-0000-0000-000081170000}"/>
    <cellStyle name="日报 4 3 4 2" xfId="6553" xr:uid="{00000000-0005-0000-0000-000082170000}"/>
    <cellStyle name="日报 4 3 5" xfId="6319" xr:uid="{00000000-0005-0000-0000-000083170000}"/>
    <cellStyle name="日报 4 4" xfId="4870" xr:uid="{00000000-0005-0000-0000-000084170000}"/>
    <cellStyle name="日报 4 4 2" xfId="5452" xr:uid="{00000000-0005-0000-0000-000085170000}"/>
    <cellStyle name="日报 4 4 2 2" xfId="5917" xr:uid="{00000000-0005-0000-0000-000086170000}"/>
    <cellStyle name="日报 4 4 2 2 2" xfId="6627" xr:uid="{00000000-0005-0000-0000-000087170000}"/>
    <cellStyle name="日报 4 4 2 3" xfId="6483" xr:uid="{00000000-0005-0000-0000-000088170000}"/>
    <cellStyle name="日报 4 4 3" xfId="5845" xr:uid="{00000000-0005-0000-0000-000089170000}"/>
    <cellStyle name="日报 4 4 3 2" xfId="6555" xr:uid="{00000000-0005-0000-0000-00008A170000}"/>
    <cellStyle name="日报 4 4 4" xfId="6321" xr:uid="{00000000-0005-0000-0000-00008B170000}"/>
    <cellStyle name="日报 4 5" xfId="5447" xr:uid="{00000000-0005-0000-0000-00008C170000}"/>
    <cellStyle name="日报 4 5 2" xfId="5912" xr:uid="{00000000-0005-0000-0000-00008D170000}"/>
    <cellStyle name="日报 4 5 2 2" xfId="6622" xr:uid="{00000000-0005-0000-0000-00008E170000}"/>
    <cellStyle name="日报 4 5 3" xfId="6478" xr:uid="{00000000-0005-0000-0000-00008F170000}"/>
    <cellStyle name="日报 4 6" xfId="5840" xr:uid="{00000000-0005-0000-0000-000090170000}"/>
    <cellStyle name="日报 4 6 2" xfId="6550" xr:uid="{00000000-0005-0000-0000-000091170000}"/>
    <cellStyle name="日报 4 7" xfId="6316" xr:uid="{00000000-0005-0000-0000-000092170000}"/>
    <cellStyle name="日报 5" xfId="4871" xr:uid="{00000000-0005-0000-0000-000093170000}"/>
    <cellStyle name="日报 5 2" xfId="4872" xr:uid="{00000000-0005-0000-0000-000094170000}"/>
    <cellStyle name="日报 5 2 2" xfId="5454" xr:uid="{00000000-0005-0000-0000-000095170000}"/>
    <cellStyle name="日报 5 2 2 2" xfId="5919" xr:uid="{00000000-0005-0000-0000-000096170000}"/>
    <cellStyle name="日报 5 2 2 2 2" xfId="6629" xr:uid="{00000000-0005-0000-0000-000097170000}"/>
    <cellStyle name="日报 5 2 2 3" xfId="6485" xr:uid="{00000000-0005-0000-0000-000098170000}"/>
    <cellStyle name="日报 5 2 3" xfId="5847" xr:uid="{00000000-0005-0000-0000-000099170000}"/>
    <cellStyle name="日报 5 2 3 2" xfId="6557" xr:uid="{00000000-0005-0000-0000-00009A170000}"/>
    <cellStyle name="日报 5 2 4" xfId="6323" xr:uid="{00000000-0005-0000-0000-00009B170000}"/>
    <cellStyle name="日报 5 3" xfId="5453" xr:uid="{00000000-0005-0000-0000-00009C170000}"/>
    <cellStyle name="日报 5 3 2" xfId="5918" xr:uid="{00000000-0005-0000-0000-00009D170000}"/>
    <cellStyle name="日报 5 3 2 2" xfId="6628" xr:uid="{00000000-0005-0000-0000-00009E170000}"/>
    <cellStyle name="日报 5 3 3" xfId="6484" xr:uid="{00000000-0005-0000-0000-00009F170000}"/>
    <cellStyle name="日报 5 4" xfId="5846" xr:uid="{00000000-0005-0000-0000-0000A0170000}"/>
    <cellStyle name="日报 5 4 2" xfId="6556" xr:uid="{00000000-0005-0000-0000-0000A1170000}"/>
    <cellStyle name="日报 5 5" xfId="6322" xr:uid="{00000000-0005-0000-0000-0000A2170000}"/>
    <cellStyle name="日报 6" xfId="4873" xr:uid="{00000000-0005-0000-0000-0000A3170000}"/>
    <cellStyle name="日报 6 2" xfId="5455" xr:uid="{00000000-0005-0000-0000-0000A4170000}"/>
    <cellStyle name="日报 6 2 2" xfId="5920" xr:uid="{00000000-0005-0000-0000-0000A5170000}"/>
    <cellStyle name="日报 6 2 2 2" xfId="6630" xr:uid="{00000000-0005-0000-0000-0000A6170000}"/>
    <cellStyle name="日报 6 2 3" xfId="6486" xr:uid="{00000000-0005-0000-0000-0000A7170000}"/>
    <cellStyle name="日报 6 3" xfId="5848" xr:uid="{00000000-0005-0000-0000-0000A8170000}"/>
    <cellStyle name="日报 6 3 2" xfId="6558" xr:uid="{00000000-0005-0000-0000-0000A9170000}"/>
    <cellStyle name="日报 6 4" xfId="6324" xr:uid="{00000000-0005-0000-0000-0000AA170000}"/>
    <cellStyle name="日报 7" xfId="5418" xr:uid="{00000000-0005-0000-0000-0000AB170000}"/>
    <cellStyle name="日报 7 2" xfId="5883" xr:uid="{00000000-0005-0000-0000-0000AC170000}"/>
    <cellStyle name="日报 7 2 2" xfId="6593" xr:uid="{00000000-0005-0000-0000-0000AD170000}"/>
    <cellStyle name="日报 7 3" xfId="6449" xr:uid="{00000000-0005-0000-0000-0000AE170000}"/>
    <cellStyle name="日报 8" xfId="5811" xr:uid="{00000000-0005-0000-0000-0000AF170000}"/>
    <cellStyle name="日报 8 2" xfId="6521" xr:uid="{00000000-0005-0000-0000-0000B0170000}"/>
    <cellStyle name="日报 9" xfId="6287" xr:uid="{00000000-0005-0000-0000-0000B1170000}"/>
    <cellStyle name="入力 2" xfId="2744" xr:uid="{00000000-0005-0000-0000-0000B2170000}"/>
    <cellStyle name="入力 2 2" xfId="2877" xr:uid="{00000000-0005-0000-0000-0000B3170000}"/>
    <cellStyle name="入力範囲" xfId="258" xr:uid="{00000000-0005-0000-0000-0000B4170000}"/>
    <cellStyle name="入力範囲 2" xfId="2878" xr:uid="{00000000-0005-0000-0000-0000B5170000}"/>
    <cellStyle name="年月" xfId="259" xr:uid="{00000000-0005-0000-0000-0000B6170000}"/>
    <cellStyle name="年月日" xfId="4874" xr:uid="{00000000-0005-0000-0000-0000B7170000}"/>
    <cellStyle name="姫" xfId="260" xr:uid="{00000000-0005-0000-0000-0000B8170000}"/>
    <cellStyle name="姫?_ビル添付２" xfId="2745" xr:uid="{00000000-0005-0000-0000-0000B9170000}"/>
    <cellStyle name="標" xfId="261" xr:uid="{00000000-0005-0000-0000-0000BA170000}"/>
    <cellStyle name="標????発計画_SCHEDULE (3)_テーマ・本Ｓ" xfId="2746" xr:uid="{00000000-0005-0000-0000-0000BB170000}"/>
    <cellStyle name="標・_・・" xfId="2747" xr:uid="{00000000-0005-0000-0000-0000BC170000}"/>
    <cellStyle name="標準" xfId="0" builtinId="0"/>
    <cellStyle name="標準 10" xfId="46" xr:uid="{00000000-0005-0000-0000-0000BE170000}"/>
    <cellStyle name="標準 10 2" xfId="4875" xr:uid="{00000000-0005-0000-0000-0000BF170000}"/>
    <cellStyle name="標準 11" xfId="2748" xr:uid="{00000000-0005-0000-0000-0000C0170000}"/>
    <cellStyle name="標準 11 2" xfId="4876" xr:uid="{00000000-0005-0000-0000-0000C1170000}"/>
    <cellStyle name="標準 11 2 2" xfId="5456" xr:uid="{00000000-0005-0000-0000-0000C2170000}"/>
    <cellStyle name="標準 11 2 2 2" xfId="5921" xr:uid="{00000000-0005-0000-0000-0000C3170000}"/>
    <cellStyle name="標準 11 2 2 2 2" xfId="6631" xr:uid="{00000000-0005-0000-0000-0000C4170000}"/>
    <cellStyle name="標準 11 2 2 3" xfId="6487" xr:uid="{00000000-0005-0000-0000-0000C5170000}"/>
    <cellStyle name="標準 11 2 3" xfId="5849" xr:uid="{00000000-0005-0000-0000-0000C6170000}"/>
    <cellStyle name="標準 11 2 3 2" xfId="6559" xr:uid="{00000000-0005-0000-0000-0000C7170000}"/>
    <cellStyle name="標準 11 2 4" xfId="6325" xr:uid="{00000000-0005-0000-0000-0000C8170000}"/>
    <cellStyle name="標準 11 3" xfId="5402" xr:uid="{00000000-0005-0000-0000-0000C9170000}"/>
    <cellStyle name="標準 11 3 2" xfId="5871" xr:uid="{00000000-0005-0000-0000-0000CA170000}"/>
    <cellStyle name="標準 11 3 2 2" xfId="6581" xr:uid="{00000000-0005-0000-0000-0000CB170000}"/>
    <cellStyle name="標準 11 3 3" xfId="6437" xr:uid="{00000000-0005-0000-0000-0000CC170000}"/>
    <cellStyle name="標準 11 4" xfId="5797" xr:uid="{00000000-0005-0000-0000-0000CD170000}"/>
    <cellStyle name="標準 11 4 2" xfId="6509" xr:uid="{00000000-0005-0000-0000-0000CE170000}"/>
    <cellStyle name="標準 11 5" xfId="5943" xr:uid="{00000000-0005-0000-0000-0000CF170000}"/>
    <cellStyle name="標準 12" xfId="2791" xr:uid="{00000000-0005-0000-0000-0000D0170000}"/>
    <cellStyle name="標準 12 2" xfId="5380" xr:uid="{00000000-0005-0000-0000-0000D1170000}"/>
    <cellStyle name="標準 12 2 2" xfId="6432" xr:uid="{00000000-0005-0000-0000-0000D2170000}"/>
    <cellStyle name="標準 13" xfId="2889" xr:uid="{00000000-0005-0000-0000-0000D3170000}"/>
    <cellStyle name="標準 14" xfId="4877" xr:uid="{00000000-0005-0000-0000-0000D4170000}"/>
    <cellStyle name="標準 15" xfId="5363" xr:uid="{00000000-0005-0000-0000-0000D5170000}"/>
    <cellStyle name="標準 15 2" xfId="6420" xr:uid="{00000000-0005-0000-0000-0000D6170000}"/>
    <cellStyle name="標準 16" xfId="5364" xr:uid="{00000000-0005-0000-0000-0000D7170000}"/>
    <cellStyle name="標準 17" xfId="5365" xr:uid="{00000000-0005-0000-0000-0000D8170000}"/>
    <cellStyle name="標準 17 2" xfId="6421" xr:uid="{00000000-0005-0000-0000-0000D9170000}"/>
    <cellStyle name="標準 18" xfId="5366" xr:uid="{00000000-0005-0000-0000-0000DA170000}"/>
    <cellStyle name="標準 18 2" xfId="6422" xr:uid="{00000000-0005-0000-0000-0000DB170000}"/>
    <cellStyle name="標準 19" xfId="5367" xr:uid="{00000000-0005-0000-0000-0000DC170000}"/>
    <cellStyle name="標準 2" xfId="22" xr:uid="{00000000-0005-0000-0000-0000DD170000}"/>
    <cellStyle name="標準 2 2" xfId="23" xr:uid="{00000000-0005-0000-0000-0000DE170000}"/>
    <cellStyle name="標準 2 2 2" xfId="40" xr:uid="{00000000-0005-0000-0000-0000DF170000}"/>
    <cellStyle name="標準 2 2 3" xfId="47" xr:uid="{00000000-0005-0000-0000-0000E0170000}"/>
    <cellStyle name="標準 2 3" xfId="24" xr:uid="{00000000-0005-0000-0000-0000E1170000}"/>
    <cellStyle name="標準 2 3 2" xfId="262" xr:uid="{00000000-0005-0000-0000-0000E2170000}"/>
    <cellStyle name="標準 2 4" xfId="2879" xr:uid="{00000000-0005-0000-0000-0000E3170000}"/>
    <cellStyle name="標準 2 5" xfId="5368" xr:uid="{00000000-0005-0000-0000-0000E4170000}"/>
    <cellStyle name="標準 2 6" xfId="6650" xr:uid="{00000000-0005-0000-0000-0000E5170000}"/>
    <cellStyle name="標準 20" xfId="5369" xr:uid="{00000000-0005-0000-0000-0000E6170000}"/>
    <cellStyle name="標準 20 2" xfId="6423" xr:uid="{00000000-0005-0000-0000-0000E7170000}"/>
    <cellStyle name="標準 21" xfId="5370" xr:uid="{00000000-0005-0000-0000-0000E8170000}"/>
    <cellStyle name="標準 22" xfId="5371" xr:uid="{00000000-0005-0000-0000-0000E9170000}"/>
    <cellStyle name="標準 23" xfId="6649" xr:uid="{00000000-0005-0000-0000-0000EA170000}"/>
    <cellStyle name="標準 24" xfId="42" xr:uid="{00000000-0005-0000-0000-0000EB170000}"/>
    <cellStyle name="標準 3" xfId="25" xr:uid="{00000000-0005-0000-0000-0000EC170000}"/>
    <cellStyle name="標準 3 2" xfId="2749" xr:uid="{00000000-0005-0000-0000-0000ED170000}"/>
    <cellStyle name="標準 3 3" xfId="2789" xr:uid="{00000000-0005-0000-0000-0000EE170000}"/>
    <cellStyle name="標準 3 4" xfId="2880" xr:uid="{00000000-0005-0000-0000-0000EF170000}"/>
    <cellStyle name="標準 3 5" xfId="52" xr:uid="{00000000-0005-0000-0000-0000F0170000}"/>
    <cellStyle name="標準 4" xfId="1" xr:uid="{00000000-0005-0000-0000-0000F1170000}"/>
    <cellStyle name="標準 4 2" xfId="4878" xr:uid="{00000000-0005-0000-0000-0000F2170000}"/>
    <cellStyle name="標準 4 2 2" xfId="4879" xr:uid="{00000000-0005-0000-0000-0000F3170000}"/>
    <cellStyle name="標準 4 3" xfId="44" xr:uid="{00000000-0005-0000-0000-0000F4170000}"/>
    <cellStyle name="標準 5" xfId="263" xr:uid="{00000000-0005-0000-0000-0000F5170000}"/>
    <cellStyle name="標準 6" xfId="26" xr:uid="{00000000-0005-0000-0000-0000F6170000}"/>
    <cellStyle name="標準 6 2" xfId="4880" xr:uid="{00000000-0005-0000-0000-0000F7170000}"/>
    <cellStyle name="標準 6 2 2" xfId="4881" xr:uid="{00000000-0005-0000-0000-0000F8170000}"/>
    <cellStyle name="標準 7" xfId="2750" xr:uid="{00000000-0005-0000-0000-0000F9170000}"/>
    <cellStyle name="標準 7 2" xfId="2751" xr:uid="{00000000-0005-0000-0000-0000FA170000}"/>
    <cellStyle name="標準 7 2 2" xfId="4882" xr:uid="{00000000-0005-0000-0000-0000FB170000}"/>
    <cellStyle name="標準 7 3" xfId="2752" xr:uid="{00000000-0005-0000-0000-0000FC170000}"/>
    <cellStyle name="標準 7 4" xfId="4883" xr:uid="{00000000-0005-0000-0000-0000FD170000}"/>
    <cellStyle name="標準 8" xfId="2753" xr:uid="{00000000-0005-0000-0000-0000FE170000}"/>
    <cellStyle name="標準 8 2" xfId="2754" xr:uid="{00000000-0005-0000-0000-0000FF170000}"/>
    <cellStyle name="標準 8 2 2" xfId="4884" xr:uid="{00000000-0005-0000-0000-000000180000}"/>
    <cellStyle name="標準 8 2 3" xfId="4885" xr:uid="{00000000-0005-0000-0000-000001180000}"/>
    <cellStyle name="標準 8 2 3 2" xfId="5457" xr:uid="{00000000-0005-0000-0000-000002180000}"/>
    <cellStyle name="標準 8 2 3 2 2" xfId="5922" xr:uid="{00000000-0005-0000-0000-000003180000}"/>
    <cellStyle name="標準 8 2 3 2 2 2" xfId="6632" xr:uid="{00000000-0005-0000-0000-000004180000}"/>
    <cellStyle name="標準 8 2 3 2 3" xfId="6488" xr:uid="{00000000-0005-0000-0000-000005180000}"/>
    <cellStyle name="標準 8 2 3 3" xfId="5850" xr:uid="{00000000-0005-0000-0000-000006180000}"/>
    <cellStyle name="標準 8 2 3 3 2" xfId="6560" xr:uid="{00000000-0005-0000-0000-000007180000}"/>
    <cellStyle name="標準 8 2 3 4" xfId="6326" xr:uid="{00000000-0005-0000-0000-000008180000}"/>
    <cellStyle name="標準 8 2 4" xfId="5403" xr:uid="{00000000-0005-0000-0000-000009180000}"/>
    <cellStyle name="標準 8 2 4 2" xfId="5872" xr:uid="{00000000-0005-0000-0000-00000A180000}"/>
    <cellStyle name="標準 8 2 4 2 2" xfId="6582" xr:uid="{00000000-0005-0000-0000-00000B180000}"/>
    <cellStyle name="標準 8 2 4 3" xfId="6438" xr:uid="{00000000-0005-0000-0000-00000C180000}"/>
    <cellStyle name="標準 8 2 5" xfId="5798" xr:uid="{00000000-0005-0000-0000-00000D180000}"/>
    <cellStyle name="標準 8 2 5 2" xfId="6510" xr:uid="{00000000-0005-0000-0000-00000E180000}"/>
    <cellStyle name="標準 8 2 6" xfId="5944" xr:uid="{00000000-0005-0000-0000-00000F180000}"/>
    <cellStyle name="標準 8 3" xfId="4886" xr:uid="{00000000-0005-0000-0000-000010180000}"/>
    <cellStyle name="標準 9" xfId="2755" xr:uid="{00000000-0005-0000-0000-000011180000}"/>
    <cellStyle name="標準1" xfId="264" xr:uid="{00000000-0005-0000-0000-000012180000}"/>
    <cellStyle name="標準２" xfId="2756" xr:uid="{00000000-0005-0000-0000-000013180000}"/>
    <cellStyle name="標準ms" xfId="265" xr:uid="{00000000-0005-0000-0000-000014180000}"/>
    <cellStyle name="標準ms 2" xfId="2881" xr:uid="{00000000-0005-0000-0000-000015180000}"/>
    <cellStyle name="標準ﾟSheet15" xfId="2757" xr:uid="{00000000-0005-0000-0000-000016180000}"/>
    <cellStyle name="標準ﾟSheet15 2" xfId="4887" xr:uid="{00000000-0005-0000-0000-000017180000}"/>
    <cellStyle name="標準ﾟSheet15 2 2" xfId="4888" xr:uid="{00000000-0005-0000-0000-000018180000}"/>
    <cellStyle name="標準ﾟSheet15 2 2 2" xfId="4889" xr:uid="{00000000-0005-0000-0000-000019180000}"/>
    <cellStyle name="標準ﾟSheet15 2 2 2 2" xfId="4890" xr:uid="{00000000-0005-0000-0000-00001A180000}"/>
    <cellStyle name="標準ﾟSheet15 2 2 3" xfId="4891" xr:uid="{00000000-0005-0000-0000-00001B180000}"/>
    <cellStyle name="標準ﾟSheet15 2 2 3 2" xfId="4892" xr:uid="{00000000-0005-0000-0000-00001C180000}"/>
    <cellStyle name="標準ﾟSheet15 2 2 3 2 2" xfId="4893" xr:uid="{00000000-0005-0000-0000-00001D180000}"/>
    <cellStyle name="標準ﾟSheet15 2 2 3 3" xfId="4894" xr:uid="{00000000-0005-0000-0000-00001E180000}"/>
    <cellStyle name="標準ﾟSheet15 2 2 4" xfId="4895" xr:uid="{00000000-0005-0000-0000-00001F180000}"/>
    <cellStyle name="標準ﾟSheet15 2 3" xfId="4896" xr:uid="{00000000-0005-0000-0000-000020180000}"/>
    <cellStyle name="標準ﾟSheet15 3" xfId="4897" xr:uid="{00000000-0005-0000-0000-000021180000}"/>
    <cellStyle name="標準ﾟ総括表_総括資料1.支店" xfId="2758" xr:uid="{00000000-0005-0000-0000-000022180000}"/>
    <cellStyle name="表・・・・ハイパーリンク" xfId="266" xr:uid="{00000000-0005-0000-0000-000023180000}"/>
    <cellStyle name="表旨巧・・ハイパーリンク" xfId="27" xr:uid="{00000000-0005-0000-0000-000024180000}"/>
    <cellStyle name="表旨巧・・ハイパーリンク 2" xfId="4898" xr:uid="{00000000-0005-0000-0000-000025180000}"/>
    <cellStyle name="表旨巧・・ハイパーリンク 3" xfId="267" xr:uid="{00000000-0005-0000-0000-000026180000}"/>
    <cellStyle name="表示済みのハイパーリンク?_x0014_?????`?`?？" xfId="2759" xr:uid="{00000000-0005-0000-0000-000027180000}"/>
    <cellStyle name="表示済みのハイパーリンク-6FLnk" xfId="2760" xr:uid="{00000000-0005-0000-0000-000028180000}"/>
    <cellStyle name="表示済みのハイパーリンク-6FLnk?`?`?？" xfId="2761" xr:uid="{00000000-0005-0000-0000-000029180000}"/>
    <cellStyle name="表示済みのハイパーリンク-6FLTC09" xfId="268" xr:uid="{00000000-0005-0000-0000-00002A180000}"/>
    <cellStyle name="表示済みのハイパーリンク-6FLTC09?`?？" xfId="2762" xr:uid="{00000000-0005-0000-0000-00002B180000}"/>
    <cellStyle name="表示済みのハイパーリンクerlink" xfId="2763" xr:uid="{00000000-0005-0000-0000-00002C180000}"/>
    <cellStyle name="表示済みのハイパーリンクerlink?`?`?？" xfId="2764" xr:uid="{00000000-0005-0000-0000-00002D180000}"/>
    <cellStyle name="表示済みのハイパーリンクnternetcatio" xfId="269" xr:uid="{00000000-0005-0000-0000-00002E180000}"/>
    <cellStyle name="普通_HARDWARE" xfId="4899" xr:uid="{00000000-0005-0000-0000-00002F180000}"/>
    <cellStyle name="文字入力" xfId="270" xr:uid="{00000000-0005-0000-0000-000030180000}"/>
    <cellStyle name="文字入力 2" xfId="2882" xr:uid="{00000000-0005-0000-0000-000031180000}"/>
    <cellStyle name="文字入力 2 2" xfId="4900" xr:uid="{00000000-0005-0000-0000-000032180000}"/>
    <cellStyle name="文字入力 2 2 2" xfId="4901" xr:uid="{00000000-0005-0000-0000-000033180000}"/>
    <cellStyle name="文字入力 2 2 2 2" xfId="4902" xr:uid="{00000000-0005-0000-0000-000034180000}"/>
    <cellStyle name="文字入力 2 2 3" xfId="4903" xr:uid="{00000000-0005-0000-0000-000035180000}"/>
    <cellStyle name="文字入力 2 2 3 2" xfId="4904" xr:uid="{00000000-0005-0000-0000-000036180000}"/>
    <cellStyle name="文字入力 2 2 3 2 2" xfId="4905" xr:uid="{00000000-0005-0000-0000-000037180000}"/>
    <cellStyle name="文字入力 2 2 3 3" xfId="4906" xr:uid="{00000000-0005-0000-0000-000038180000}"/>
    <cellStyle name="文字入力 2 2 4" xfId="4907" xr:uid="{00000000-0005-0000-0000-000039180000}"/>
    <cellStyle name="文字入力 2 3" xfId="4908" xr:uid="{00000000-0005-0000-0000-00003A180000}"/>
    <cellStyle name="文字入力 3" xfId="4909" xr:uid="{00000000-0005-0000-0000-00003B180000}"/>
    <cellStyle name="文字入力 4" xfId="5372" xr:uid="{00000000-0005-0000-0000-00003C180000}"/>
    <cellStyle name="文字入力 4 2" xfId="6424" xr:uid="{00000000-0005-0000-0000-00003D180000}"/>
    <cellStyle name="文字入力 5" xfId="5373" xr:uid="{00000000-0005-0000-0000-00003E180000}"/>
    <cellStyle name="文字入力 5 2" xfId="6425" xr:uid="{00000000-0005-0000-0000-00003F180000}"/>
    <cellStyle name="文字入力 6" xfId="5374" xr:uid="{00000000-0005-0000-0000-000040180000}"/>
    <cellStyle name="文字入力 6 2" xfId="6426" xr:uid="{00000000-0005-0000-0000-000041180000}"/>
    <cellStyle name="文字入力 7" xfId="5375" xr:uid="{00000000-0005-0000-0000-000042180000}"/>
    <cellStyle name="文字入力 7 2" xfId="6427" xr:uid="{00000000-0005-0000-0000-000043180000}"/>
    <cellStyle name="文字列" xfId="4910" xr:uid="{00000000-0005-0000-0000-000044180000}"/>
    <cellStyle name="文字列非保護" xfId="4911" xr:uid="{00000000-0005-0000-0000-000045180000}"/>
    <cellStyle name="文字列非保護 2" xfId="4912" xr:uid="{00000000-0005-0000-0000-000046180000}"/>
    <cellStyle name="文字列非保護 2 2" xfId="4913" xr:uid="{00000000-0005-0000-0000-000047180000}"/>
    <cellStyle name="文字列非保護 3" xfId="4914" xr:uid="{00000000-0005-0000-0000-000048180000}"/>
    <cellStyle name="文字列非保護 3 2" xfId="4915" xr:uid="{00000000-0005-0000-0000-000049180000}"/>
    <cellStyle name="文字列非保護 3 2 2" xfId="4916" xr:uid="{00000000-0005-0000-0000-00004A180000}"/>
    <cellStyle name="文字列非保護 3 3" xfId="4917" xr:uid="{00000000-0005-0000-0000-00004B180000}"/>
    <cellStyle name="文字列非保護 4" xfId="4918" xr:uid="{00000000-0005-0000-0000-00004C180000}"/>
    <cellStyle name="歩_x0001__開発計画_企画.XLS   (3)_SCHEDULE (1)" xfId="271" xr:uid="{00000000-0005-0000-0000-00004D180000}"/>
    <cellStyle name="未定義" xfId="38" xr:uid="{00000000-0005-0000-0000-00004E180000}"/>
    <cellStyle name="未定義 2" xfId="2883" xr:uid="{00000000-0005-0000-0000-00004F180000}"/>
    <cellStyle name="未定義 3" xfId="272" xr:uid="{00000000-0005-0000-0000-000050180000}"/>
    <cellStyle name="良い 2" xfId="2765" xr:uid="{00000000-0005-0000-0000-000051180000}"/>
    <cellStyle name="良い 2 2" xfId="2884" xr:uid="{00000000-0005-0000-0000-000052180000}"/>
    <cellStyle name="믅됞 [0.00]_PRODUCT DETAIL Q1" xfId="273" xr:uid="{00000000-0005-0000-0000-000053180000}"/>
    <cellStyle name="믅됞_PRODUCT DETAIL Q1" xfId="274" xr:uid="{00000000-0005-0000-0000-000054180000}"/>
    <cellStyle name="백분율_HOBONG" xfId="275" xr:uid="{00000000-0005-0000-0000-000055180000}"/>
    <cellStyle name="뷭?_BOOKSHIP" xfId="276" xr:uid="{00000000-0005-0000-0000-000056180000}"/>
    <cellStyle name="燉eを保存しますか?・_x0007__x0014_" xfId="277" xr:uid="{00000000-0005-0000-0000-000057180000}"/>
    <cellStyle name="燉eを保存しますか?・_x0007__x0014_ 2" xfId="2885" xr:uid="{00000000-0005-0000-0000-000058180000}"/>
    <cellStyle name="燉eを保存しますか?・_x0007__x0014_ 2 2" xfId="4919" xr:uid="{00000000-0005-0000-0000-000059180000}"/>
    <cellStyle name="燉eを保存しますか?・_x0007__x0014_ 2 2 2" xfId="4920" xr:uid="{00000000-0005-0000-0000-00005A180000}"/>
    <cellStyle name="燉eを保存しますか?・_x0007__x0014_ 2 2 2 2" xfId="4921" xr:uid="{00000000-0005-0000-0000-00005B180000}"/>
    <cellStyle name="燉eを保存しますか?・_x0007__x0014_ 2 2 3" xfId="4922" xr:uid="{00000000-0005-0000-0000-00005C180000}"/>
    <cellStyle name="燉eを保存しますか?・_x0007__x0014_ 2 2 3 2" xfId="4923" xr:uid="{00000000-0005-0000-0000-00005D180000}"/>
    <cellStyle name="燉eを保存しますか?・_x0007__x0014_ 2 2 3 2 2" xfId="4924" xr:uid="{00000000-0005-0000-0000-00005E180000}"/>
    <cellStyle name="燉eを保存しますか?・_x0007__x0014_ 2 2 3 3" xfId="4925" xr:uid="{00000000-0005-0000-0000-00005F180000}"/>
    <cellStyle name="燉eを保存しますか?・_x0007__x0014_ 2 2 4" xfId="4926" xr:uid="{00000000-0005-0000-0000-000060180000}"/>
    <cellStyle name="燉eを保存しますか?・_x0007__x0014_ 2 3" xfId="4927" xr:uid="{00000000-0005-0000-0000-000061180000}"/>
    <cellStyle name="燉eを保存しますか?・_x0007__x0014_ 3" xfId="4928" xr:uid="{00000000-0005-0000-0000-000062180000}"/>
    <cellStyle name="燉eを保存しますか?・_x0007__x0014_ 4" xfId="5376" xr:uid="{00000000-0005-0000-0000-000063180000}"/>
    <cellStyle name="燉eを保存しますか?・_x0007__x0014_ 4 2" xfId="6428" xr:uid="{00000000-0005-0000-0000-000064180000}"/>
    <cellStyle name="燉eを保存しますか?・_x0007__x0014_ 5" xfId="5377" xr:uid="{00000000-0005-0000-0000-000065180000}"/>
    <cellStyle name="燉eを保存しますか?・_x0007__x0014_ 5 2" xfId="6429" xr:uid="{00000000-0005-0000-0000-000066180000}"/>
    <cellStyle name="燉eを保存しますか?・_x0007__x0014_ 6" xfId="5378" xr:uid="{00000000-0005-0000-0000-000067180000}"/>
    <cellStyle name="燉eを保存しますか?・_x0007__x0014_ 6 2" xfId="6430" xr:uid="{00000000-0005-0000-0000-000068180000}"/>
    <cellStyle name="燉eを保存しますか?・_x0007__x0014_ 7" xfId="5379" xr:uid="{00000000-0005-0000-0000-000069180000}"/>
    <cellStyle name="燉eを保存しますか?・_x0007__x0014_ 7 2" xfId="6431" xr:uid="{00000000-0005-0000-0000-00006A180000}"/>
    <cellStyle name="燉eを保存しますか?・_x0007__x0014_?s のH_x0006__x000c_?^.xls_x0006__x0014_?NJI1.XLS?Tm_x0002__x000f_標準_JINJI2.XLS?_x0014_b?_x000f_標準_JINJI3.XLS?Jm_x0002__x000f_標準_JINJI4.XLS?_x0014_b?_x000f_標準_JINJI5.XLS?Tm_x0002__x000f_標準_JINJI6.XLS" xfId="2766" xr:uid="{00000000-0005-0000-0000-00006B180000}"/>
    <cellStyle name="爨ﾃﾗ靉ｧﾋﾁﾒﾂｨﾘﾅﾀﾒ､ [0]_Book2" xfId="278" xr:uid="{00000000-0005-0000-0000-00006C180000}"/>
    <cellStyle name="爨ﾃﾗ靉ｧﾋﾁﾒﾂｨﾘﾅﾀﾒ､_Book2" xfId="279" xr:uid="{00000000-0005-0000-0000-00006D180000}"/>
    <cellStyle name="爨ﾃﾗ靉ｧﾋﾁﾒﾂﾊ｡ﾘﾅ爰ﾔｹ [0]_Book2" xfId="280" xr:uid="{00000000-0005-0000-0000-00006E180000}"/>
    <cellStyle name="爨ﾃﾗ靉ｧﾋﾁﾒﾂﾊ｡ﾘﾅ爰ﾔｹ_Book2" xfId="281" xr:uid="{00000000-0005-0000-0000-00006F180000}"/>
    <cellStyle name="爼ﾗ靉ﾁ篦ｧﾋﾅﾒﾂﾁﾔｵﾔ" xfId="282" xr:uid="{00000000-0005-0000-0000-000070180000}"/>
    <cellStyle name="爼ﾗ靉ﾁ篦ｧﾋﾅﾒﾂﾁﾔｵﾔ 2" xfId="4929" xr:uid="{00000000-0005-0000-0000-000071180000}"/>
    <cellStyle name="爼ﾗ靉ﾁ篦ｧﾋﾅﾒﾂﾁﾔｵﾔ 2 2" xfId="4930" xr:uid="{00000000-0005-0000-0000-000072180000}"/>
    <cellStyle name="爼ﾗ靉ﾁ篦ｧﾋﾅﾒﾂﾁﾔｵﾔ 3" xfId="4931" xr:uid="{00000000-0005-0000-0000-000073180000}"/>
    <cellStyle name="爼ﾗ靉ﾁ篦ｧﾋﾅﾒﾂﾁﾔｵﾔ 3 2" xfId="4932" xr:uid="{00000000-0005-0000-0000-000074180000}"/>
    <cellStyle name="猝鮖｢ﾍｺ｢ﾇﾒ" xfId="2767" xr:uid="{00000000-0005-0000-0000-000075180000}"/>
    <cellStyle name="寘嬫愗傝 [0.00]_laroux" xfId="4933" xr:uid="{00000000-0005-0000-0000-000076180000}"/>
    <cellStyle name="寘嬫愗傝_~IM6157" xfId="4934" xr:uid="{00000000-0005-0000-0000-000077180000}"/>
    <cellStyle name="콤마 [0]_1202" xfId="283" xr:uid="{00000000-0005-0000-0000-000078180000}"/>
    <cellStyle name="콤마_1202" xfId="284" xr:uid="{00000000-0005-0000-0000-000079180000}"/>
    <cellStyle name="통화 [0]_1202" xfId="285" xr:uid="{00000000-0005-0000-0000-00007A180000}"/>
    <cellStyle name="통화_1202" xfId="286" xr:uid="{00000000-0005-0000-0000-00007B180000}"/>
    <cellStyle name="표준_(정보부문)월별인원계획" xfId="287" xr:uid="{00000000-0005-0000-0000-00007C180000}"/>
    <cellStyle name="强调文字颜色 1" xfId="2768" xr:uid="{00000000-0005-0000-0000-00007D180000}"/>
    <cellStyle name="强调文字颜色 1 2" xfId="4935" xr:uid="{00000000-0005-0000-0000-00007E180000}"/>
    <cellStyle name="强调文字颜色 1 2 2" xfId="4936" xr:uid="{00000000-0005-0000-0000-00007F180000}"/>
    <cellStyle name="强调文字颜色 1 2 2 2" xfId="4937" xr:uid="{00000000-0005-0000-0000-000080180000}"/>
    <cellStyle name="强调文字颜色 1 2 2 2 2" xfId="4938" xr:uid="{00000000-0005-0000-0000-000081180000}"/>
    <cellStyle name="强调文字颜色 1 2 2 2 3" xfId="4939" xr:uid="{00000000-0005-0000-0000-000082180000}"/>
    <cellStyle name="强调文字颜色 1 2 2 3" xfId="4940" xr:uid="{00000000-0005-0000-0000-000083180000}"/>
    <cellStyle name="强调文字颜色 1 2 3" xfId="4941" xr:uid="{00000000-0005-0000-0000-000084180000}"/>
    <cellStyle name="强调文字颜色 1 2 3 2" xfId="4942" xr:uid="{00000000-0005-0000-0000-000085180000}"/>
    <cellStyle name="强调文字颜色 1 2 3 3" xfId="4943" xr:uid="{00000000-0005-0000-0000-000086180000}"/>
    <cellStyle name="强调文字颜色 1 2 4" xfId="4944" xr:uid="{00000000-0005-0000-0000-000087180000}"/>
    <cellStyle name="强调文字颜色 1 3" xfId="4945" xr:uid="{00000000-0005-0000-0000-000088180000}"/>
    <cellStyle name="强调文字颜色 1 3 2" xfId="4946" xr:uid="{00000000-0005-0000-0000-000089180000}"/>
    <cellStyle name="强调文字颜色 1 3 3" xfId="4947" xr:uid="{00000000-0005-0000-0000-00008A180000}"/>
    <cellStyle name="强调文字颜色 1 4" xfId="4948" xr:uid="{00000000-0005-0000-0000-00008B180000}"/>
    <cellStyle name="强调文字颜色 2" xfId="2769" xr:uid="{00000000-0005-0000-0000-00008C180000}"/>
    <cellStyle name="强调文字颜色 2 2" xfId="4949" xr:uid="{00000000-0005-0000-0000-00008D180000}"/>
    <cellStyle name="强调文字颜色 2 2 2" xfId="4950" xr:uid="{00000000-0005-0000-0000-00008E180000}"/>
    <cellStyle name="强调文字颜色 2 2 2 2" xfId="4951" xr:uid="{00000000-0005-0000-0000-00008F180000}"/>
    <cellStyle name="强调文字颜色 2 2 2 2 2" xfId="4952" xr:uid="{00000000-0005-0000-0000-000090180000}"/>
    <cellStyle name="强调文字颜色 2 2 2 2 3" xfId="4953" xr:uid="{00000000-0005-0000-0000-000091180000}"/>
    <cellStyle name="强调文字颜色 2 2 2 3" xfId="4954" xr:uid="{00000000-0005-0000-0000-000092180000}"/>
    <cellStyle name="强调文字颜色 2 2 3" xfId="4955" xr:uid="{00000000-0005-0000-0000-000093180000}"/>
    <cellStyle name="强调文字颜色 2 2 3 2" xfId="4956" xr:uid="{00000000-0005-0000-0000-000094180000}"/>
    <cellStyle name="强调文字颜色 2 2 3 3" xfId="4957" xr:uid="{00000000-0005-0000-0000-000095180000}"/>
    <cellStyle name="强调文字颜色 2 2 4" xfId="4958" xr:uid="{00000000-0005-0000-0000-000096180000}"/>
    <cellStyle name="强调文字颜色 2 3" xfId="4959" xr:uid="{00000000-0005-0000-0000-000097180000}"/>
    <cellStyle name="强调文字颜色 2 3 2" xfId="4960" xr:uid="{00000000-0005-0000-0000-000098180000}"/>
    <cellStyle name="强调文字颜色 2 3 3" xfId="4961" xr:uid="{00000000-0005-0000-0000-000099180000}"/>
    <cellStyle name="强调文字颜色 2 4" xfId="4962" xr:uid="{00000000-0005-0000-0000-00009A180000}"/>
    <cellStyle name="强调文字颜色 3" xfId="2770" xr:uid="{00000000-0005-0000-0000-00009B180000}"/>
    <cellStyle name="强调文字颜色 3 2" xfId="4963" xr:uid="{00000000-0005-0000-0000-00009C180000}"/>
    <cellStyle name="强调文字颜色 3 2 2" xfId="4964" xr:uid="{00000000-0005-0000-0000-00009D180000}"/>
    <cellStyle name="强调文字颜色 3 2 2 2" xfId="4965" xr:uid="{00000000-0005-0000-0000-00009E180000}"/>
    <cellStyle name="强调文字颜色 3 2 2 2 2" xfId="4966" xr:uid="{00000000-0005-0000-0000-00009F180000}"/>
    <cellStyle name="强调文字颜色 3 2 2 2 3" xfId="4967" xr:uid="{00000000-0005-0000-0000-0000A0180000}"/>
    <cellStyle name="强调文字颜色 3 2 2 3" xfId="4968" xr:uid="{00000000-0005-0000-0000-0000A1180000}"/>
    <cellStyle name="强调文字颜色 3 2 3" xfId="4969" xr:uid="{00000000-0005-0000-0000-0000A2180000}"/>
    <cellStyle name="强调文字颜色 3 2 3 2" xfId="4970" xr:uid="{00000000-0005-0000-0000-0000A3180000}"/>
    <cellStyle name="强调文字颜色 3 2 3 3" xfId="4971" xr:uid="{00000000-0005-0000-0000-0000A4180000}"/>
    <cellStyle name="强调文字颜色 3 2 4" xfId="4972" xr:uid="{00000000-0005-0000-0000-0000A5180000}"/>
    <cellStyle name="强调文字颜色 3 3" xfId="4973" xr:uid="{00000000-0005-0000-0000-0000A6180000}"/>
    <cellStyle name="强调文字颜色 3 3 2" xfId="4974" xr:uid="{00000000-0005-0000-0000-0000A7180000}"/>
    <cellStyle name="强调文字颜色 3 3 3" xfId="4975" xr:uid="{00000000-0005-0000-0000-0000A8180000}"/>
    <cellStyle name="强调文字颜色 3 4" xfId="4976" xr:uid="{00000000-0005-0000-0000-0000A9180000}"/>
    <cellStyle name="强调文字颜色 4" xfId="2771" xr:uid="{00000000-0005-0000-0000-0000AA180000}"/>
    <cellStyle name="强调文字颜色 4 2" xfId="4977" xr:uid="{00000000-0005-0000-0000-0000AB180000}"/>
    <cellStyle name="强调文字颜色 4 2 2" xfId="4978" xr:uid="{00000000-0005-0000-0000-0000AC180000}"/>
    <cellStyle name="强调文字颜色 4 2 2 2" xfId="4979" xr:uid="{00000000-0005-0000-0000-0000AD180000}"/>
    <cellStyle name="强调文字颜色 4 2 2 2 2" xfId="4980" xr:uid="{00000000-0005-0000-0000-0000AE180000}"/>
    <cellStyle name="强调文字颜色 4 2 2 2 3" xfId="4981" xr:uid="{00000000-0005-0000-0000-0000AF180000}"/>
    <cellStyle name="强调文字颜色 4 2 2 3" xfId="4982" xr:uid="{00000000-0005-0000-0000-0000B0180000}"/>
    <cellStyle name="强调文字颜色 4 2 3" xfId="4983" xr:uid="{00000000-0005-0000-0000-0000B1180000}"/>
    <cellStyle name="强调文字颜色 4 2 3 2" xfId="4984" xr:uid="{00000000-0005-0000-0000-0000B2180000}"/>
    <cellStyle name="强调文字颜色 4 2 3 3" xfId="4985" xr:uid="{00000000-0005-0000-0000-0000B3180000}"/>
    <cellStyle name="强调文字颜色 4 2 4" xfId="4986" xr:uid="{00000000-0005-0000-0000-0000B4180000}"/>
    <cellStyle name="强调文字颜色 4 3" xfId="4987" xr:uid="{00000000-0005-0000-0000-0000B5180000}"/>
    <cellStyle name="强调文字颜色 4 3 2" xfId="4988" xr:uid="{00000000-0005-0000-0000-0000B6180000}"/>
    <cellStyle name="强调文字颜色 4 3 3" xfId="4989" xr:uid="{00000000-0005-0000-0000-0000B7180000}"/>
    <cellStyle name="强调文字颜色 4 4" xfId="4990" xr:uid="{00000000-0005-0000-0000-0000B8180000}"/>
    <cellStyle name="强调文字颜色 5" xfId="2772" xr:uid="{00000000-0005-0000-0000-0000B9180000}"/>
    <cellStyle name="强调文字颜色 5 2" xfId="4991" xr:uid="{00000000-0005-0000-0000-0000BA180000}"/>
    <cellStyle name="强调文字颜色 5 2 2" xfId="4992" xr:uid="{00000000-0005-0000-0000-0000BB180000}"/>
    <cellStyle name="强调文字颜色 5 2 2 2" xfId="4993" xr:uid="{00000000-0005-0000-0000-0000BC180000}"/>
    <cellStyle name="强调文字颜色 5 2 2 2 2" xfId="4994" xr:uid="{00000000-0005-0000-0000-0000BD180000}"/>
    <cellStyle name="强调文字颜色 5 2 2 2 3" xfId="4995" xr:uid="{00000000-0005-0000-0000-0000BE180000}"/>
    <cellStyle name="强调文字颜色 5 2 2 3" xfId="4996" xr:uid="{00000000-0005-0000-0000-0000BF180000}"/>
    <cellStyle name="强调文字颜色 5 2 3" xfId="4997" xr:uid="{00000000-0005-0000-0000-0000C0180000}"/>
    <cellStyle name="强调文字颜色 5 2 3 2" xfId="4998" xr:uid="{00000000-0005-0000-0000-0000C1180000}"/>
    <cellStyle name="强调文字颜色 5 2 3 3" xfId="4999" xr:uid="{00000000-0005-0000-0000-0000C2180000}"/>
    <cellStyle name="强调文字颜色 5 2 4" xfId="5000" xr:uid="{00000000-0005-0000-0000-0000C3180000}"/>
    <cellStyle name="强调文字颜色 5 3" xfId="5001" xr:uid="{00000000-0005-0000-0000-0000C4180000}"/>
    <cellStyle name="强调文字颜色 5 3 2" xfId="5002" xr:uid="{00000000-0005-0000-0000-0000C5180000}"/>
    <cellStyle name="强调文字颜色 5 3 3" xfId="5003" xr:uid="{00000000-0005-0000-0000-0000C6180000}"/>
    <cellStyle name="强调文字颜色 5 4" xfId="5004" xr:uid="{00000000-0005-0000-0000-0000C7180000}"/>
    <cellStyle name="强调文字颜色 6" xfId="2773" xr:uid="{00000000-0005-0000-0000-0000C8180000}"/>
    <cellStyle name="强调文字颜色 6 2" xfId="5005" xr:uid="{00000000-0005-0000-0000-0000C9180000}"/>
    <cellStyle name="强调文字颜色 6 2 2" xfId="5006" xr:uid="{00000000-0005-0000-0000-0000CA180000}"/>
    <cellStyle name="强调文字颜色 6 2 2 2" xfId="5007" xr:uid="{00000000-0005-0000-0000-0000CB180000}"/>
    <cellStyle name="强调文字颜色 6 2 2 2 2" xfId="5008" xr:uid="{00000000-0005-0000-0000-0000CC180000}"/>
    <cellStyle name="强调文字颜色 6 2 2 2 3" xfId="5009" xr:uid="{00000000-0005-0000-0000-0000CD180000}"/>
    <cellStyle name="强调文字颜色 6 2 2 3" xfId="5010" xr:uid="{00000000-0005-0000-0000-0000CE180000}"/>
    <cellStyle name="强调文字颜色 6 2 3" xfId="5011" xr:uid="{00000000-0005-0000-0000-0000CF180000}"/>
    <cellStyle name="强调文字颜色 6 2 3 2" xfId="5012" xr:uid="{00000000-0005-0000-0000-0000D0180000}"/>
    <cellStyle name="强调文字颜色 6 2 3 3" xfId="5013" xr:uid="{00000000-0005-0000-0000-0000D1180000}"/>
    <cellStyle name="强调文字颜色 6 2 4" xfId="5014" xr:uid="{00000000-0005-0000-0000-0000D2180000}"/>
    <cellStyle name="强调文字颜色 6 3" xfId="5015" xr:uid="{00000000-0005-0000-0000-0000D3180000}"/>
    <cellStyle name="强调文字颜色 6 3 2" xfId="5016" xr:uid="{00000000-0005-0000-0000-0000D4180000}"/>
    <cellStyle name="强调文字颜色 6 3 3" xfId="5017" xr:uid="{00000000-0005-0000-0000-0000D5180000}"/>
    <cellStyle name="强调文字颜色 6 4" xfId="5018" xr:uid="{00000000-0005-0000-0000-0000D6180000}"/>
    <cellStyle name="捠壿 [0.00]_laroux" xfId="5019" xr:uid="{00000000-0005-0000-0000-0000D7180000}"/>
    <cellStyle name="捠壿_laroux" xfId="5020" xr:uid="{00000000-0005-0000-0000-0000D8180000}"/>
    <cellStyle name="昗弨_~IM6157" xfId="5021" xr:uid="{00000000-0005-0000-0000-0000D9180000}"/>
    <cellStyle name="标题" xfId="2774" xr:uid="{00000000-0005-0000-0000-0000DA180000}"/>
    <cellStyle name="标题 1" xfId="2775" xr:uid="{00000000-0005-0000-0000-0000DB180000}"/>
    <cellStyle name="标题 1 2" xfId="5022" xr:uid="{00000000-0005-0000-0000-0000DC180000}"/>
    <cellStyle name="标题 1 2 2" xfId="5023" xr:uid="{00000000-0005-0000-0000-0000DD180000}"/>
    <cellStyle name="标题 1 2 2 2" xfId="5024" xr:uid="{00000000-0005-0000-0000-0000DE180000}"/>
    <cellStyle name="标题 1 2 2 2 2" xfId="5025" xr:uid="{00000000-0005-0000-0000-0000DF180000}"/>
    <cellStyle name="标题 1 2 2 2 3" xfId="5026" xr:uid="{00000000-0005-0000-0000-0000E0180000}"/>
    <cellStyle name="标题 1 2 2 3" xfId="5027" xr:uid="{00000000-0005-0000-0000-0000E1180000}"/>
    <cellStyle name="标题 1 2 3" xfId="5028" xr:uid="{00000000-0005-0000-0000-0000E2180000}"/>
    <cellStyle name="标题 1 2 3 2" xfId="5029" xr:uid="{00000000-0005-0000-0000-0000E3180000}"/>
    <cellStyle name="标题 1 2 3 3" xfId="5030" xr:uid="{00000000-0005-0000-0000-0000E4180000}"/>
    <cellStyle name="标题 1 2 4" xfId="5031" xr:uid="{00000000-0005-0000-0000-0000E5180000}"/>
    <cellStyle name="标题 1 3" xfId="5032" xr:uid="{00000000-0005-0000-0000-0000E6180000}"/>
    <cellStyle name="标题 1 3 2" xfId="5033" xr:uid="{00000000-0005-0000-0000-0000E7180000}"/>
    <cellStyle name="标题 1 3 3" xfId="5034" xr:uid="{00000000-0005-0000-0000-0000E8180000}"/>
    <cellStyle name="标题 1 4" xfId="5035" xr:uid="{00000000-0005-0000-0000-0000E9180000}"/>
    <cellStyle name="标题 2" xfId="2776" xr:uid="{00000000-0005-0000-0000-0000EA180000}"/>
    <cellStyle name="标题 2 2" xfId="5036" xr:uid="{00000000-0005-0000-0000-0000EB180000}"/>
    <cellStyle name="标题 2 2 2" xfId="5037" xr:uid="{00000000-0005-0000-0000-0000EC180000}"/>
    <cellStyle name="标题 2 2 2 2" xfId="5038" xr:uid="{00000000-0005-0000-0000-0000ED180000}"/>
    <cellStyle name="标题 2 2 2 2 2" xfId="5039" xr:uid="{00000000-0005-0000-0000-0000EE180000}"/>
    <cellStyle name="标题 2 2 2 2 3" xfId="5040" xr:uid="{00000000-0005-0000-0000-0000EF180000}"/>
    <cellStyle name="标题 2 2 2 3" xfId="5041" xr:uid="{00000000-0005-0000-0000-0000F0180000}"/>
    <cellStyle name="标题 2 2 3" xfId="5042" xr:uid="{00000000-0005-0000-0000-0000F1180000}"/>
    <cellStyle name="标题 2 2 3 2" xfId="5043" xr:uid="{00000000-0005-0000-0000-0000F2180000}"/>
    <cellStyle name="标题 2 2 3 3" xfId="5044" xr:uid="{00000000-0005-0000-0000-0000F3180000}"/>
    <cellStyle name="标题 2 2 4" xfId="5045" xr:uid="{00000000-0005-0000-0000-0000F4180000}"/>
    <cellStyle name="标题 2 3" xfId="5046" xr:uid="{00000000-0005-0000-0000-0000F5180000}"/>
    <cellStyle name="标题 2 3 2" xfId="5047" xr:uid="{00000000-0005-0000-0000-0000F6180000}"/>
    <cellStyle name="标题 2 3 3" xfId="5048" xr:uid="{00000000-0005-0000-0000-0000F7180000}"/>
    <cellStyle name="标题 2 4" xfId="5049" xr:uid="{00000000-0005-0000-0000-0000F8180000}"/>
    <cellStyle name="标题 3" xfId="2777" xr:uid="{00000000-0005-0000-0000-0000F9180000}"/>
    <cellStyle name="标题 3 2" xfId="5050" xr:uid="{00000000-0005-0000-0000-0000FA180000}"/>
    <cellStyle name="标题 3 2 2" xfId="5051" xr:uid="{00000000-0005-0000-0000-0000FB180000}"/>
    <cellStyle name="标题 3 2 2 2" xfId="5052" xr:uid="{00000000-0005-0000-0000-0000FC180000}"/>
    <cellStyle name="标题 3 2 2 2 2" xfId="5053" xr:uid="{00000000-0005-0000-0000-0000FD180000}"/>
    <cellStyle name="标题 3 2 2 2 3" xfId="5054" xr:uid="{00000000-0005-0000-0000-0000FE180000}"/>
    <cellStyle name="标题 3 2 2 3" xfId="5055" xr:uid="{00000000-0005-0000-0000-0000FF180000}"/>
    <cellStyle name="标题 3 2 3" xfId="5056" xr:uid="{00000000-0005-0000-0000-000000190000}"/>
    <cellStyle name="标题 3 2 3 2" xfId="5057" xr:uid="{00000000-0005-0000-0000-000001190000}"/>
    <cellStyle name="标题 3 2 3 3" xfId="5058" xr:uid="{00000000-0005-0000-0000-000002190000}"/>
    <cellStyle name="标题 3 2 4" xfId="5059" xr:uid="{00000000-0005-0000-0000-000003190000}"/>
    <cellStyle name="标题 3 3" xfId="5060" xr:uid="{00000000-0005-0000-0000-000004190000}"/>
    <cellStyle name="标题 3 3 2" xfId="5061" xr:uid="{00000000-0005-0000-0000-000005190000}"/>
    <cellStyle name="标题 3 3 3" xfId="5062" xr:uid="{00000000-0005-0000-0000-000006190000}"/>
    <cellStyle name="标题 3 4" xfId="5063" xr:uid="{00000000-0005-0000-0000-000007190000}"/>
    <cellStyle name="标题 4" xfId="2778" xr:uid="{00000000-0005-0000-0000-000008190000}"/>
    <cellStyle name="标题 4 2" xfId="5064" xr:uid="{00000000-0005-0000-0000-000009190000}"/>
    <cellStyle name="标题 4 2 2" xfId="5065" xr:uid="{00000000-0005-0000-0000-00000A190000}"/>
    <cellStyle name="标题 4 2 2 2" xfId="5066" xr:uid="{00000000-0005-0000-0000-00000B190000}"/>
    <cellStyle name="标题 4 2 2 2 2" xfId="5067" xr:uid="{00000000-0005-0000-0000-00000C190000}"/>
    <cellStyle name="标题 4 2 2 2 3" xfId="5068" xr:uid="{00000000-0005-0000-0000-00000D190000}"/>
    <cellStyle name="标题 4 2 2 3" xfId="5069" xr:uid="{00000000-0005-0000-0000-00000E190000}"/>
    <cellStyle name="标题 4 2 3" xfId="5070" xr:uid="{00000000-0005-0000-0000-00000F190000}"/>
    <cellStyle name="标题 4 2 3 2" xfId="5071" xr:uid="{00000000-0005-0000-0000-000010190000}"/>
    <cellStyle name="标题 4 2 3 3" xfId="5072" xr:uid="{00000000-0005-0000-0000-000011190000}"/>
    <cellStyle name="标题 4 2 4" xfId="5073" xr:uid="{00000000-0005-0000-0000-000012190000}"/>
    <cellStyle name="标题 4 3" xfId="5074" xr:uid="{00000000-0005-0000-0000-000013190000}"/>
    <cellStyle name="标题 4 3 2" xfId="5075" xr:uid="{00000000-0005-0000-0000-000014190000}"/>
    <cellStyle name="标题 4 3 3" xfId="5076" xr:uid="{00000000-0005-0000-0000-000015190000}"/>
    <cellStyle name="标题 4 4" xfId="5077" xr:uid="{00000000-0005-0000-0000-000016190000}"/>
    <cellStyle name="标题 5" xfId="5078" xr:uid="{00000000-0005-0000-0000-000017190000}"/>
    <cellStyle name="标题 5 2" xfId="5079" xr:uid="{00000000-0005-0000-0000-000018190000}"/>
    <cellStyle name="标题 5 2 2" xfId="5080" xr:uid="{00000000-0005-0000-0000-000019190000}"/>
    <cellStyle name="标题 5 2 2 2" xfId="5081" xr:uid="{00000000-0005-0000-0000-00001A190000}"/>
    <cellStyle name="标题 5 2 2 2 2" xfId="5082" xr:uid="{00000000-0005-0000-0000-00001B190000}"/>
    <cellStyle name="标题 5 2 2 2 2 2" xfId="6331" xr:uid="{00000000-0005-0000-0000-00001C190000}"/>
    <cellStyle name="标题 5 2 2 2 3" xfId="6330" xr:uid="{00000000-0005-0000-0000-00001D190000}"/>
    <cellStyle name="标题 5 2 2 3" xfId="5083" xr:uid="{00000000-0005-0000-0000-00001E190000}"/>
    <cellStyle name="标题 5 2 2 3 2" xfId="5084" xr:uid="{00000000-0005-0000-0000-00001F190000}"/>
    <cellStyle name="标题 5 2 2 3 2 2" xfId="6333" xr:uid="{00000000-0005-0000-0000-000020190000}"/>
    <cellStyle name="标题 5 2 2 3 3" xfId="6332" xr:uid="{00000000-0005-0000-0000-000021190000}"/>
    <cellStyle name="标题 5 2 2 4" xfId="5085" xr:uid="{00000000-0005-0000-0000-000022190000}"/>
    <cellStyle name="标题 5 2 2 4 2" xfId="6334" xr:uid="{00000000-0005-0000-0000-000023190000}"/>
    <cellStyle name="标题 5 2 2 5" xfId="6329" xr:uid="{00000000-0005-0000-0000-000024190000}"/>
    <cellStyle name="标题 5 2 3" xfId="5086" xr:uid="{00000000-0005-0000-0000-000025190000}"/>
    <cellStyle name="标题 5 2 3 2" xfId="5087" xr:uid="{00000000-0005-0000-0000-000026190000}"/>
    <cellStyle name="标题 5 2 3 2 2" xfId="6336" xr:uid="{00000000-0005-0000-0000-000027190000}"/>
    <cellStyle name="标题 5 2 3 3" xfId="6335" xr:uid="{00000000-0005-0000-0000-000028190000}"/>
    <cellStyle name="标题 5 2 4" xfId="5088" xr:uid="{00000000-0005-0000-0000-000029190000}"/>
    <cellStyle name="标题 5 2 4 2" xfId="6337" xr:uid="{00000000-0005-0000-0000-00002A190000}"/>
    <cellStyle name="标题 5 2 5" xfId="6328" xr:uid="{00000000-0005-0000-0000-00002B190000}"/>
    <cellStyle name="标题 5 3" xfId="5089" xr:uid="{00000000-0005-0000-0000-00002C190000}"/>
    <cellStyle name="标题 5 3 2" xfId="5090" xr:uid="{00000000-0005-0000-0000-00002D190000}"/>
    <cellStyle name="标题 5 3 2 2" xfId="5091" xr:uid="{00000000-0005-0000-0000-00002E190000}"/>
    <cellStyle name="标题 5 3 2 2 2" xfId="6340" xr:uid="{00000000-0005-0000-0000-00002F190000}"/>
    <cellStyle name="标题 5 3 2 3" xfId="6339" xr:uid="{00000000-0005-0000-0000-000030190000}"/>
    <cellStyle name="标题 5 3 3" xfId="5092" xr:uid="{00000000-0005-0000-0000-000031190000}"/>
    <cellStyle name="标题 5 3 3 2" xfId="5093" xr:uid="{00000000-0005-0000-0000-000032190000}"/>
    <cellStyle name="标题 5 3 3 2 2" xfId="6342" xr:uid="{00000000-0005-0000-0000-000033190000}"/>
    <cellStyle name="标题 5 3 3 3" xfId="6341" xr:uid="{00000000-0005-0000-0000-000034190000}"/>
    <cellStyle name="标题 5 3 4" xfId="5094" xr:uid="{00000000-0005-0000-0000-000035190000}"/>
    <cellStyle name="标题 5 3 4 2" xfId="6343" xr:uid="{00000000-0005-0000-0000-000036190000}"/>
    <cellStyle name="标题 5 3 5" xfId="6338" xr:uid="{00000000-0005-0000-0000-000037190000}"/>
    <cellStyle name="标题 5 4" xfId="5095" xr:uid="{00000000-0005-0000-0000-000038190000}"/>
    <cellStyle name="标题 5 4 2" xfId="5096" xr:uid="{00000000-0005-0000-0000-000039190000}"/>
    <cellStyle name="标题 5 4 2 2" xfId="6345" xr:uid="{00000000-0005-0000-0000-00003A190000}"/>
    <cellStyle name="标题 5 4 3" xfId="6344" xr:uid="{00000000-0005-0000-0000-00003B190000}"/>
    <cellStyle name="标题 5 5" xfId="5097" xr:uid="{00000000-0005-0000-0000-00003C190000}"/>
    <cellStyle name="标题 5 5 2" xfId="6346" xr:uid="{00000000-0005-0000-0000-00003D190000}"/>
    <cellStyle name="标题 5 6" xfId="6327" xr:uid="{00000000-0005-0000-0000-00003E190000}"/>
    <cellStyle name="标题 6" xfId="5098" xr:uid="{00000000-0005-0000-0000-00003F190000}"/>
    <cellStyle name="标题 6 2" xfId="5099" xr:uid="{00000000-0005-0000-0000-000040190000}"/>
    <cellStyle name="标题 6 2 2" xfId="5100" xr:uid="{00000000-0005-0000-0000-000041190000}"/>
    <cellStyle name="标题 6 2 2 2" xfId="6349" xr:uid="{00000000-0005-0000-0000-000042190000}"/>
    <cellStyle name="标题 6 2 3" xfId="6348" xr:uid="{00000000-0005-0000-0000-000043190000}"/>
    <cellStyle name="标题 6 3" xfId="5101" xr:uid="{00000000-0005-0000-0000-000044190000}"/>
    <cellStyle name="标题 6 3 2" xfId="5102" xr:uid="{00000000-0005-0000-0000-000045190000}"/>
    <cellStyle name="标题 6 3 2 2" xfId="6351" xr:uid="{00000000-0005-0000-0000-000046190000}"/>
    <cellStyle name="标题 6 3 3" xfId="6350" xr:uid="{00000000-0005-0000-0000-000047190000}"/>
    <cellStyle name="标题 6 4" xfId="5103" xr:uid="{00000000-0005-0000-0000-000048190000}"/>
    <cellStyle name="标题 6 4 2" xfId="6352" xr:uid="{00000000-0005-0000-0000-000049190000}"/>
    <cellStyle name="标题 6 5" xfId="6347" xr:uid="{00000000-0005-0000-0000-00004A190000}"/>
    <cellStyle name="标题 7" xfId="5104" xr:uid="{00000000-0005-0000-0000-00004B190000}"/>
    <cellStyle name="标题 7 2" xfId="5105" xr:uid="{00000000-0005-0000-0000-00004C190000}"/>
    <cellStyle name="标题 7 2 2" xfId="6354" xr:uid="{00000000-0005-0000-0000-00004D190000}"/>
    <cellStyle name="标题 7 3" xfId="6353" xr:uid="{00000000-0005-0000-0000-00004E190000}"/>
    <cellStyle name="标题_13年度反省書(SR係)" xfId="2779" xr:uid="{00000000-0005-0000-0000-00004F190000}"/>
    <cellStyle name="样式 1" xfId="2886" xr:uid="{00000000-0005-0000-0000-000050190000}"/>
    <cellStyle name="检查单元格" xfId="2780" xr:uid="{00000000-0005-0000-0000-000051190000}"/>
    <cellStyle name="检查单元格 2" xfId="5106" xr:uid="{00000000-0005-0000-0000-000052190000}"/>
    <cellStyle name="检查单元格 2 2" xfId="5107" xr:uid="{00000000-0005-0000-0000-000053190000}"/>
    <cellStyle name="检查单元格 2 2 2" xfId="5108" xr:uid="{00000000-0005-0000-0000-000054190000}"/>
    <cellStyle name="检查单元格 2 2 2 2" xfId="5109" xr:uid="{00000000-0005-0000-0000-000055190000}"/>
    <cellStyle name="检查单元格 2 2 2 3" xfId="5110" xr:uid="{00000000-0005-0000-0000-000056190000}"/>
    <cellStyle name="检查单元格 2 2 3" xfId="5111" xr:uid="{00000000-0005-0000-0000-000057190000}"/>
    <cellStyle name="检查单元格 2 3" xfId="5112" xr:uid="{00000000-0005-0000-0000-000058190000}"/>
    <cellStyle name="检查单元格 2 3 2" xfId="5113" xr:uid="{00000000-0005-0000-0000-000059190000}"/>
    <cellStyle name="检查单元格 2 3 3" xfId="5114" xr:uid="{00000000-0005-0000-0000-00005A190000}"/>
    <cellStyle name="检查单元格 2 4" xfId="5115" xr:uid="{00000000-0005-0000-0000-00005B190000}"/>
    <cellStyle name="检查单元格 3" xfId="5116" xr:uid="{00000000-0005-0000-0000-00005C190000}"/>
    <cellStyle name="检查单元格 3 2" xfId="5117" xr:uid="{00000000-0005-0000-0000-00005D190000}"/>
    <cellStyle name="检查单元格 3 3" xfId="5118" xr:uid="{00000000-0005-0000-0000-00005E190000}"/>
    <cellStyle name="检查单元格 4" xfId="5119" xr:uid="{00000000-0005-0000-0000-00005F190000}"/>
    <cellStyle name="樘準_購－表紙 (2)_1_型－PRINT_ＳＩ型番 (2)_構成明細  (原調込み） (2)" xfId="5120" xr:uid="{00000000-0005-0000-0000-000060190000}"/>
    <cellStyle name="汇总" xfId="2781" xr:uid="{00000000-0005-0000-0000-000061190000}"/>
    <cellStyle name="汇总 2" xfId="5121" xr:uid="{00000000-0005-0000-0000-000062190000}"/>
    <cellStyle name="汇总 2 2" xfId="5122" xr:uid="{00000000-0005-0000-0000-000063190000}"/>
    <cellStyle name="汇总 2 2 2" xfId="5123" xr:uid="{00000000-0005-0000-0000-000064190000}"/>
    <cellStyle name="汇总 2 2 2 2" xfId="5124" xr:uid="{00000000-0005-0000-0000-000065190000}"/>
    <cellStyle name="汇总 2 2 2 2 2" xfId="5125" xr:uid="{00000000-0005-0000-0000-000066190000}"/>
    <cellStyle name="汇总 2 2 2 3" xfId="5126" xr:uid="{00000000-0005-0000-0000-000067190000}"/>
    <cellStyle name="汇总 2 2 2 3 2" xfId="5127" xr:uid="{00000000-0005-0000-0000-000068190000}"/>
    <cellStyle name="汇总 2 2 2 4" xfId="5128" xr:uid="{00000000-0005-0000-0000-000069190000}"/>
    <cellStyle name="汇总 2 2 3" xfId="5129" xr:uid="{00000000-0005-0000-0000-00006A190000}"/>
    <cellStyle name="汇总 2 2 3 2" xfId="5130" xr:uid="{00000000-0005-0000-0000-00006B190000}"/>
    <cellStyle name="汇总 2 2 4" xfId="5131" xr:uid="{00000000-0005-0000-0000-00006C190000}"/>
    <cellStyle name="汇总 2 3" xfId="5132" xr:uid="{00000000-0005-0000-0000-00006D190000}"/>
    <cellStyle name="汇总 2 3 2" xfId="5133" xr:uid="{00000000-0005-0000-0000-00006E190000}"/>
    <cellStyle name="汇总 2 3 2 2" xfId="5134" xr:uid="{00000000-0005-0000-0000-00006F190000}"/>
    <cellStyle name="汇总 2 3 3" xfId="5135" xr:uid="{00000000-0005-0000-0000-000070190000}"/>
    <cellStyle name="汇总 2 3 3 2" xfId="5136" xr:uid="{00000000-0005-0000-0000-000071190000}"/>
    <cellStyle name="汇总 2 3 4" xfId="5137" xr:uid="{00000000-0005-0000-0000-000072190000}"/>
    <cellStyle name="汇总 2 4" xfId="5138" xr:uid="{00000000-0005-0000-0000-000073190000}"/>
    <cellStyle name="汇总 2 4 2" xfId="5139" xr:uid="{00000000-0005-0000-0000-000074190000}"/>
    <cellStyle name="汇总 2 5" xfId="5140" xr:uid="{00000000-0005-0000-0000-000075190000}"/>
    <cellStyle name="汇总 3" xfId="5141" xr:uid="{00000000-0005-0000-0000-000076190000}"/>
    <cellStyle name="汇总 3 2" xfId="5142" xr:uid="{00000000-0005-0000-0000-000077190000}"/>
    <cellStyle name="汇总 3 2 2" xfId="5143" xr:uid="{00000000-0005-0000-0000-000078190000}"/>
    <cellStyle name="汇总 3 3" xfId="5144" xr:uid="{00000000-0005-0000-0000-000079190000}"/>
    <cellStyle name="汇总 3 3 2" xfId="5145" xr:uid="{00000000-0005-0000-0000-00007A190000}"/>
    <cellStyle name="汇总 3 4" xfId="5146" xr:uid="{00000000-0005-0000-0000-00007B190000}"/>
    <cellStyle name="汇总 4" xfId="5147" xr:uid="{00000000-0005-0000-0000-00007C190000}"/>
    <cellStyle name="汇总 4 2" xfId="5148" xr:uid="{00000000-0005-0000-0000-00007D190000}"/>
    <cellStyle name="汇总 5" xfId="5149" xr:uid="{00000000-0005-0000-0000-00007E190000}"/>
    <cellStyle name="湪挀佽ｽ祣づ眰〰" xfId="2782" xr:uid="{00000000-0005-0000-0000-00007F190000}"/>
    <cellStyle name="湪挀佽ｽ祣づ眰〰???????????" xfId="2783" xr:uid="{00000000-0005-0000-0000-000080190000}"/>
    <cellStyle name="计算" xfId="2784" xr:uid="{00000000-0005-0000-0000-000081190000}"/>
    <cellStyle name="计算 2" xfId="5150" xr:uid="{00000000-0005-0000-0000-000082190000}"/>
    <cellStyle name="计算 2 2" xfId="5151" xr:uid="{00000000-0005-0000-0000-000083190000}"/>
    <cellStyle name="计算 2 2 2" xfId="5152" xr:uid="{00000000-0005-0000-0000-000084190000}"/>
    <cellStyle name="计算 2 2 2 2" xfId="5153" xr:uid="{00000000-0005-0000-0000-000085190000}"/>
    <cellStyle name="计算 2 2 2 2 2" xfId="5154" xr:uid="{00000000-0005-0000-0000-000086190000}"/>
    <cellStyle name="计算 2 2 2 3" xfId="5155" xr:uid="{00000000-0005-0000-0000-000087190000}"/>
    <cellStyle name="计算 2 2 2 3 2" xfId="5156" xr:uid="{00000000-0005-0000-0000-000088190000}"/>
    <cellStyle name="计算 2 2 2 4" xfId="5157" xr:uid="{00000000-0005-0000-0000-000089190000}"/>
    <cellStyle name="计算 2 2 3" xfId="5158" xr:uid="{00000000-0005-0000-0000-00008A190000}"/>
    <cellStyle name="计算 2 2 3 2" xfId="5159" xr:uid="{00000000-0005-0000-0000-00008B190000}"/>
    <cellStyle name="计算 2 2 4" xfId="5160" xr:uid="{00000000-0005-0000-0000-00008C190000}"/>
    <cellStyle name="计算 2 3" xfId="5161" xr:uid="{00000000-0005-0000-0000-00008D190000}"/>
    <cellStyle name="计算 2 3 2" xfId="5162" xr:uid="{00000000-0005-0000-0000-00008E190000}"/>
    <cellStyle name="计算 2 3 2 2" xfId="5163" xr:uid="{00000000-0005-0000-0000-00008F190000}"/>
    <cellStyle name="计算 2 3 3" xfId="5164" xr:uid="{00000000-0005-0000-0000-000090190000}"/>
    <cellStyle name="计算 2 3 3 2" xfId="5165" xr:uid="{00000000-0005-0000-0000-000091190000}"/>
    <cellStyle name="计算 2 3 4" xfId="5166" xr:uid="{00000000-0005-0000-0000-000092190000}"/>
    <cellStyle name="计算 2 4" xfId="5167" xr:uid="{00000000-0005-0000-0000-000093190000}"/>
    <cellStyle name="计算 2 4 2" xfId="5168" xr:uid="{00000000-0005-0000-0000-000094190000}"/>
    <cellStyle name="计算 2 5" xfId="5169" xr:uid="{00000000-0005-0000-0000-000095190000}"/>
    <cellStyle name="计算 3" xfId="5170" xr:uid="{00000000-0005-0000-0000-000096190000}"/>
    <cellStyle name="计算 3 2" xfId="5171" xr:uid="{00000000-0005-0000-0000-000097190000}"/>
    <cellStyle name="计算 3 2 2" xfId="5172" xr:uid="{00000000-0005-0000-0000-000098190000}"/>
    <cellStyle name="计算 3 3" xfId="5173" xr:uid="{00000000-0005-0000-0000-000099190000}"/>
    <cellStyle name="计算 3 3 2" xfId="5174" xr:uid="{00000000-0005-0000-0000-00009A190000}"/>
    <cellStyle name="计算 3 4" xfId="5175" xr:uid="{00000000-0005-0000-0000-00009B190000}"/>
    <cellStyle name="计算 4" xfId="5176" xr:uid="{00000000-0005-0000-0000-00009C190000}"/>
    <cellStyle name="计算 4 2" xfId="5177" xr:uid="{00000000-0005-0000-0000-00009D190000}"/>
    <cellStyle name="计算 5" xfId="5178" xr:uid="{00000000-0005-0000-0000-00009E190000}"/>
    <cellStyle name="货币[0]_第二期tops塾效果走势" xfId="5179" xr:uid="{00000000-0005-0000-0000-00009F190000}"/>
    <cellStyle name="货币_方針管理05年liu" xfId="5180" xr:uid="{00000000-0005-0000-0000-0000A0190000}"/>
    <cellStyle name="输出" xfId="2785" xr:uid="{00000000-0005-0000-0000-0000A1190000}"/>
    <cellStyle name="输出 2" xfId="5181" xr:uid="{00000000-0005-0000-0000-0000A2190000}"/>
    <cellStyle name="输出 2 2" xfId="5182" xr:uid="{00000000-0005-0000-0000-0000A3190000}"/>
    <cellStyle name="输出 2 2 2" xfId="5183" xr:uid="{00000000-0005-0000-0000-0000A4190000}"/>
    <cellStyle name="输出 2 2 2 2" xfId="5184" xr:uid="{00000000-0005-0000-0000-0000A5190000}"/>
    <cellStyle name="输出 2 2 2 2 2" xfId="5185" xr:uid="{00000000-0005-0000-0000-0000A6190000}"/>
    <cellStyle name="输出 2 2 2 3" xfId="5186" xr:uid="{00000000-0005-0000-0000-0000A7190000}"/>
    <cellStyle name="输出 2 2 2 3 2" xfId="5187" xr:uid="{00000000-0005-0000-0000-0000A8190000}"/>
    <cellStyle name="输出 2 2 2 4" xfId="5188" xr:uid="{00000000-0005-0000-0000-0000A9190000}"/>
    <cellStyle name="输出 2 2 3" xfId="5189" xr:uid="{00000000-0005-0000-0000-0000AA190000}"/>
    <cellStyle name="输出 2 2 3 2" xfId="5190" xr:uid="{00000000-0005-0000-0000-0000AB190000}"/>
    <cellStyle name="输出 2 2 4" xfId="5191" xr:uid="{00000000-0005-0000-0000-0000AC190000}"/>
    <cellStyle name="输出 2 3" xfId="5192" xr:uid="{00000000-0005-0000-0000-0000AD190000}"/>
    <cellStyle name="输出 2 3 2" xfId="5193" xr:uid="{00000000-0005-0000-0000-0000AE190000}"/>
    <cellStyle name="输出 2 3 2 2" xfId="5194" xr:uid="{00000000-0005-0000-0000-0000AF190000}"/>
    <cellStyle name="输出 2 3 3" xfId="5195" xr:uid="{00000000-0005-0000-0000-0000B0190000}"/>
    <cellStyle name="输出 2 3 3 2" xfId="5196" xr:uid="{00000000-0005-0000-0000-0000B1190000}"/>
    <cellStyle name="输出 2 3 4" xfId="5197" xr:uid="{00000000-0005-0000-0000-0000B2190000}"/>
    <cellStyle name="输出 2 4" xfId="5198" xr:uid="{00000000-0005-0000-0000-0000B3190000}"/>
    <cellStyle name="输出 2 4 2" xfId="5199" xr:uid="{00000000-0005-0000-0000-0000B4190000}"/>
    <cellStyle name="输出 2 5" xfId="5200" xr:uid="{00000000-0005-0000-0000-0000B5190000}"/>
    <cellStyle name="输出 3" xfId="5201" xr:uid="{00000000-0005-0000-0000-0000B6190000}"/>
    <cellStyle name="输出 3 2" xfId="5202" xr:uid="{00000000-0005-0000-0000-0000B7190000}"/>
    <cellStyle name="输出 3 2 2" xfId="5203" xr:uid="{00000000-0005-0000-0000-0000B8190000}"/>
    <cellStyle name="输出 3 3" xfId="5204" xr:uid="{00000000-0005-0000-0000-0000B9190000}"/>
    <cellStyle name="输出 3 3 2" xfId="5205" xr:uid="{00000000-0005-0000-0000-0000BA190000}"/>
    <cellStyle name="输出 3 4" xfId="5206" xr:uid="{00000000-0005-0000-0000-0000BB190000}"/>
    <cellStyle name="输出 4" xfId="5207" xr:uid="{00000000-0005-0000-0000-0000BC190000}"/>
    <cellStyle name="输出 4 2" xfId="5208" xr:uid="{00000000-0005-0000-0000-0000BD190000}"/>
    <cellStyle name="输出 5" xfId="5209" xr:uid="{00000000-0005-0000-0000-0000BE190000}"/>
    <cellStyle name="输入" xfId="2786" xr:uid="{00000000-0005-0000-0000-0000BF190000}"/>
    <cellStyle name="输入 2" xfId="5210" xr:uid="{00000000-0005-0000-0000-0000C0190000}"/>
    <cellStyle name="输入 2 2" xfId="5211" xr:uid="{00000000-0005-0000-0000-0000C1190000}"/>
    <cellStyle name="输入 2 2 2" xfId="5212" xr:uid="{00000000-0005-0000-0000-0000C2190000}"/>
    <cellStyle name="输入 2 2 2 2" xfId="5213" xr:uid="{00000000-0005-0000-0000-0000C3190000}"/>
    <cellStyle name="输入 2 2 2 2 2" xfId="5214" xr:uid="{00000000-0005-0000-0000-0000C4190000}"/>
    <cellStyle name="输入 2 2 2 3" xfId="5215" xr:uid="{00000000-0005-0000-0000-0000C5190000}"/>
    <cellStyle name="输入 2 2 2 3 2" xfId="5216" xr:uid="{00000000-0005-0000-0000-0000C6190000}"/>
    <cellStyle name="输入 2 2 2 4" xfId="5217" xr:uid="{00000000-0005-0000-0000-0000C7190000}"/>
    <cellStyle name="输入 2 2 3" xfId="5218" xr:uid="{00000000-0005-0000-0000-0000C8190000}"/>
    <cellStyle name="输入 2 2 3 2" xfId="5219" xr:uid="{00000000-0005-0000-0000-0000C9190000}"/>
    <cellStyle name="输入 2 2 4" xfId="5220" xr:uid="{00000000-0005-0000-0000-0000CA190000}"/>
    <cellStyle name="输入 2 3" xfId="5221" xr:uid="{00000000-0005-0000-0000-0000CB190000}"/>
    <cellStyle name="输入 2 3 2" xfId="5222" xr:uid="{00000000-0005-0000-0000-0000CC190000}"/>
    <cellStyle name="输入 2 3 2 2" xfId="5223" xr:uid="{00000000-0005-0000-0000-0000CD190000}"/>
    <cellStyle name="输入 2 3 3" xfId="5224" xr:uid="{00000000-0005-0000-0000-0000CE190000}"/>
    <cellStyle name="输入 2 3 3 2" xfId="5225" xr:uid="{00000000-0005-0000-0000-0000CF190000}"/>
    <cellStyle name="输入 2 3 4" xfId="5226" xr:uid="{00000000-0005-0000-0000-0000D0190000}"/>
    <cellStyle name="输入 2 4" xfId="5227" xr:uid="{00000000-0005-0000-0000-0000D1190000}"/>
    <cellStyle name="输入 2 4 2" xfId="5228" xr:uid="{00000000-0005-0000-0000-0000D2190000}"/>
    <cellStyle name="输入 2 5" xfId="5229" xr:uid="{00000000-0005-0000-0000-0000D3190000}"/>
    <cellStyle name="输入 3" xfId="5230" xr:uid="{00000000-0005-0000-0000-0000D4190000}"/>
    <cellStyle name="输入 3 2" xfId="5231" xr:uid="{00000000-0005-0000-0000-0000D5190000}"/>
    <cellStyle name="输入 3 2 2" xfId="5232" xr:uid="{00000000-0005-0000-0000-0000D6190000}"/>
    <cellStyle name="输入 3 3" xfId="5233" xr:uid="{00000000-0005-0000-0000-0000D7190000}"/>
    <cellStyle name="输入 3 3 2" xfId="5234" xr:uid="{00000000-0005-0000-0000-0000D8190000}"/>
    <cellStyle name="输入 3 4" xfId="5235" xr:uid="{00000000-0005-0000-0000-0000D9190000}"/>
    <cellStyle name="输入 4" xfId="5236" xr:uid="{00000000-0005-0000-0000-0000DA190000}"/>
    <cellStyle name="输入 4 2" xfId="5237" xr:uid="{00000000-0005-0000-0000-0000DB190000}"/>
    <cellStyle name="输入 5" xfId="5238" xr:uid="{00000000-0005-0000-0000-0000DC190000}"/>
    <cellStyle name="适中" xfId="2787" xr:uid="{00000000-0005-0000-0000-0000DD190000}"/>
    <cellStyle name="适中 2" xfId="5239" xr:uid="{00000000-0005-0000-0000-0000DE190000}"/>
    <cellStyle name="适中 2 2" xfId="5240" xr:uid="{00000000-0005-0000-0000-0000DF190000}"/>
    <cellStyle name="适中 2 2 2" xfId="5241" xr:uid="{00000000-0005-0000-0000-0000E0190000}"/>
    <cellStyle name="适中 2 2 2 2" xfId="5242" xr:uid="{00000000-0005-0000-0000-0000E1190000}"/>
    <cellStyle name="适中 2 2 2 3" xfId="5243" xr:uid="{00000000-0005-0000-0000-0000E2190000}"/>
    <cellStyle name="适中 2 2 3" xfId="5244" xr:uid="{00000000-0005-0000-0000-0000E3190000}"/>
    <cellStyle name="适中 2 3" xfId="5245" xr:uid="{00000000-0005-0000-0000-0000E4190000}"/>
    <cellStyle name="适中 2 3 2" xfId="5246" xr:uid="{00000000-0005-0000-0000-0000E5190000}"/>
    <cellStyle name="适中 2 3 3" xfId="5247" xr:uid="{00000000-0005-0000-0000-0000E6190000}"/>
    <cellStyle name="适中 2 4" xfId="5248" xr:uid="{00000000-0005-0000-0000-0000E7190000}"/>
    <cellStyle name="适中 3" xfId="5249" xr:uid="{00000000-0005-0000-0000-0000E8190000}"/>
    <cellStyle name="适中 3 2" xfId="5250" xr:uid="{00000000-0005-0000-0000-0000E9190000}"/>
    <cellStyle name="适中 3 3" xfId="5251" xr:uid="{00000000-0005-0000-0000-0000EA190000}"/>
    <cellStyle name="适中 4" xfId="5252" xr:uid="{00000000-0005-0000-0000-0000EB190000}"/>
    <cellStyle name="链接单元格" xfId="2788" xr:uid="{00000000-0005-0000-0000-0000EC190000}"/>
    <cellStyle name="链接单元格 2" xfId="5253" xr:uid="{00000000-0005-0000-0000-0000ED190000}"/>
    <cellStyle name="链接单元格 2 2" xfId="5254" xr:uid="{00000000-0005-0000-0000-0000EE190000}"/>
    <cellStyle name="链接单元格 2 2 2" xfId="5255" xr:uid="{00000000-0005-0000-0000-0000EF190000}"/>
    <cellStyle name="链接单元格 2 2 2 2" xfId="5256" xr:uid="{00000000-0005-0000-0000-0000F0190000}"/>
    <cellStyle name="链接单元格 2 2 2 3" xfId="5257" xr:uid="{00000000-0005-0000-0000-0000F1190000}"/>
    <cellStyle name="链接单元格 2 2 3" xfId="5258" xr:uid="{00000000-0005-0000-0000-0000F2190000}"/>
    <cellStyle name="链接单元格 2 3" xfId="5259" xr:uid="{00000000-0005-0000-0000-0000F3190000}"/>
    <cellStyle name="链接单元格 2 3 2" xfId="5260" xr:uid="{00000000-0005-0000-0000-0000F4190000}"/>
    <cellStyle name="链接单元格 2 3 3" xfId="5261" xr:uid="{00000000-0005-0000-0000-0000F5190000}"/>
    <cellStyle name="链接单元格 2 4" xfId="5262" xr:uid="{00000000-0005-0000-0000-0000F6190000}"/>
    <cellStyle name="链接单元格 3" xfId="5263" xr:uid="{00000000-0005-0000-0000-0000F7190000}"/>
    <cellStyle name="链接单元格 3 2" xfId="5264" xr:uid="{00000000-0005-0000-0000-0000F8190000}"/>
    <cellStyle name="链接单元格 3 3" xfId="5265" xr:uid="{00000000-0005-0000-0000-0000F9190000}"/>
    <cellStyle name="链接单元格 4" xfId="5266" xr:uid="{00000000-0005-0000-0000-0000FA190000}"/>
  </cellStyles>
  <dxfs count="0"/>
  <tableStyles count="0" defaultTableStyle="TableStyleMedium2" defaultPivotStyle="PivotStyleLight16"/>
  <colors>
    <mruColors>
      <color rgb="FFFD8D31"/>
      <color rgb="FFFF6A47"/>
      <color rgb="FF66CCFF"/>
      <color rgb="FF75B44A"/>
      <color rgb="FFFF9966"/>
      <color rgb="FFFF6600"/>
      <color rgb="FFFFCC00"/>
      <color rgb="FFFCE4D6"/>
      <color rgb="FFE2EFDA"/>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495300</xdr:colOff>
      <xdr:row>38</xdr:row>
      <xdr:rowOff>123825</xdr:rowOff>
    </xdr:from>
    <xdr:to>
      <xdr:col>8</xdr:col>
      <xdr:colOff>9525</xdr:colOff>
      <xdr:row>38</xdr:row>
      <xdr:rowOff>123825</xdr:rowOff>
    </xdr:to>
    <xdr:cxnSp macro="">
      <xdr:nvCxnSpPr>
        <xdr:cNvPr id="3" name="直線矢印コネクタ 2">
          <a:extLst>
            <a:ext uri="{FF2B5EF4-FFF2-40B4-BE49-F238E27FC236}">
              <a16:creationId xmlns:a16="http://schemas.microsoft.com/office/drawing/2014/main" id="{00000000-0008-0000-0100-000003000000}"/>
            </a:ext>
          </a:extLst>
        </xdr:cNvPr>
        <xdr:cNvCxnSpPr/>
      </xdr:nvCxnSpPr>
      <xdr:spPr>
        <a:xfrm>
          <a:off x="4705350" y="8258175"/>
          <a:ext cx="2000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123825</xdr:rowOff>
    </xdr:from>
    <xdr:to>
      <xdr:col>6</xdr:col>
      <xdr:colOff>504825</xdr:colOff>
      <xdr:row>3</xdr:row>
      <xdr:rowOff>123825</xdr:rowOff>
    </xdr:to>
    <xdr:cxnSp macro="">
      <xdr:nvCxnSpPr>
        <xdr:cNvPr id="5" name="直線矢印コネクタ 4">
          <a:extLst>
            <a:ext uri="{FF2B5EF4-FFF2-40B4-BE49-F238E27FC236}">
              <a16:creationId xmlns:a16="http://schemas.microsoft.com/office/drawing/2014/main" id="{00000000-0008-0000-0100-000005000000}"/>
            </a:ext>
          </a:extLst>
        </xdr:cNvPr>
        <xdr:cNvCxnSpPr/>
      </xdr:nvCxnSpPr>
      <xdr:spPr>
        <a:xfrm flipH="1">
          <a:off x="2514600" y="857250"/>
          <a:ext cx="504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K62"/>
  <sheetViews>
    <sheetView showGridLines="0" zoomScale="85" zoomScaleNormal="85" workbookViewId="0"/>
  </sheetViews>
  <sheetFormatPr defaultColWidth="3.5703125" defaultRowHeight="13.5"/>
  <cols>
    <col min="1" max="1" width="1.42578125" style="3" customWidth="1"/>
    <col min="2" max="2" width="3.5703125" style="3" customWidth="1"/>
    <col min="3" max="7" width="2.85546875" style="3" customWidth="1"/>
    <col min="8" max="16" width="2.7109375" style="3" customWidth="1"/>
    <col min="17" max="49" width="2.5703125" style="3" customWidth="1"/>
    <col min="50" max="55" width="2.42578125" style="3" customWidth="1"/>
    <col min="56" max="56" width="1.42578125" style="3" customWidth="1"/>
    <col min="57" max="57" width="3.5703125" style="3"/>
    <col min="58" max="63" width="0" style="3" hidden="1" customWidth="1"/>
    <col min="64" max="16384" width="3.5703125" style="3"/>
  </cols>
  <sheetData>
    <row r="2" spans="2:55" ht="18.75">
      <c r="B2" s="1" t="s">
        <v>161</v>
      </c>
      <c r="C2" s="2"/>
      <c r="D2" s="2"/>
      <c r="E2" s="2"/>
      <c r="F2" s="2"/>
      <c r="G2" s="2"/>
      <c r="H2" s="2"/>
      <c r="I2" s="2"/>
      <c r="J2" s="2"/>
      <c r="K2" s="2"/>
    </row>
    <row r="3" spans="2:55" ht="12" customHeight="1">
      <c r="BC3" s="4" t="s">
        <v>176</v>
      </c>
    </row>
    <row r="4" spans="2:55" ht="12" customHeight="1">
      <c r="B4" s="3" t="s">
        <v>162</v>
      </c>
      <c r="E4" s="3" t="s">
        <v>179</v>
      </c>
    </row>
    <row r="5" spans="2:55" ht="5.0999999999999996" customHeight="1"/>
    <row r="6" spans="2:55">
      <c r="B6" s="79" t="s">
        <v>0</v>
      </c>
      <c r="C6" s="80"/>
      <c r="D6" s="79" t="s">
        <v>163</v>
      </c>
      <c r="E6" s="81"/>
      <c r="F6" s="81"/>
      <c r="G6" s="81"/>
      <c r="H6" s="81"/>
      <c r="I6" s="81"/>
      <c r="J6" s="81"/>
      <c r="K6" s="81"/>
      <c r="L6" s="81"/>
      <c r="M6" s="81"/>
      <c r="N6" s="80"/>
      <c r="O6" s="5"/>
      <c r="AR6" s="79" t="s">
        <v>1</v>
      </c>
      <c r="AS6" s="81"/>
      <c r="AT6" s="81"/>
      <c r="AU6" s="81"/>
      <c r="AV6" s="80"/>
      <c r="AW6" s="79"/>
      <c r="AX6" s="81"/>
      <c r="AY6" s="81"/>
      <c r="AZ6" s="81"/>
      <c r="BA6" s="81"/>
      <c r="BB6" s="81"/>
      <c r="BC6" s="80"/>
    </row>
    <row r="7" spans="2:55">
      <c r="B7" s="79" t="s">
        <v>2</v>
      </c>
      <c r="C7" s="80"/>
      <c r="D7" s="82" t="s">
        <v>164</v>
      </c>
      <c r="E7" s="83"/>
      <c r="F7" s="83"/>
      <c r="G7" s="83"/>
      <c r="H7" s="84"/>
      <c r="I7" s="79" t="s">
        <v>165</v>
      </c>
      <c r="J7" s="80"/>
      <c r="K7" s="82" t="s">
        <v>166</v>
      </c>
      <c r="L7" s="83"/>
      <c r="M7" s="83"/>
      <c r="N7" s="84"/>
      <c r="O7" s="5"/>
      <c r="AR7" s="79" t="s">
        <v>3</v>
      </c>
      <c r="AS7" s="81"/>
      <c r="AT7" s="81"/>
      <c r="AU7" s="81"/>
      <c r="AV7" s="80"/>
      <c r="AW7" s="79"/>
      <c r="AX7" s="81"/>
      <c r="AY7" s="81"/>
      <c r="AZ7" s="81"/>
      <c r="BA7" s="81"/>
      <c r="BB7" s="81"/>
      <c r="BC7" s="80"/>
    </row>
    <row r="8" spans="2:55" ht="6.6" customHeight="1"/>
    <row r="9" spans="2:55">
      <c r="B9" s="96" t="s">
        <v>4</v>
      </c>
      <c r="C9" s="99" t="s">
        <v>5</v>
      </c>
      <c r="D9" s="100"/>
      <c r="E9" s="100"/>
      <c r="F9" s="100"/>
      <c r="G9" s="100"/>
      <c r="H9" s="100"/>
      <c r="I9" s="101"/>
      <c r="J9" s="99" t="s">
        <v>167</v>
      </c>
      <c r="K9" s="100"/>
      <c r="L9" s="100"/>
      <c r="M9" s="100"/>
      <c r="N9" s="100"/>
      <c r="O9" s="100"/>
      <c r="P9" s="101"/>
      <c r="Q9" s="78" t="s">
        <v>6</v>
      </c>
      <c r="R9" s="78"/>
      <c r="S9" s="78"/>
      <c r="T9" s="99" t="s">
        <v>7</v>
      </c>
      <c r="U9" s="100"/>
      <c r="V9" s="100"/>
      <c r="W9" s="100"/>
      <c r="X9" s="100"/>
      <c r="Y9" s="100"/>
      <c r="Z9" s="100"/>
      <c r="AA9" s="100"/>
      <c r="AB9" s="100"/>
      <c r="AC9" s="100"/>
      <c r="AD9" s="100"/>
      <c r="AE9" s="100"/>
      <c r="AF9" s="100"/>
      <c r="AG9" s="100"/>
      <c r="AH9" s="101"/>
      <c r="AI9" s="99" t="s">
        <v>8</v>
      </c>
      <c r="AJ9" s="100"/>
      <c r="AK9" s="100"/>
      <c r="AL9" s="100"/>
      <c r="AM9" s="100"/>
      <c r="AN9" s="100"/>
      <c r="AO9" s="100"/>
      <c r="AP9" s="100"/>
      <c r="AQ9" s="100"/>
      <c r="AR9" s="100"/>
      <c r="AS9" s="100"/>
      <c r="AT9" s="100"/>
      <c r="AU9" s="100"/>
      <c r="AV9" s="100"/>
      <c r="AW9" s="101"/>
      <c r="AX9" s="78" t="s">
        <v>9</v>
      </c>
      <c r="AY9" s="78"/>
      <c r="AZ9" s="78" t="s">
        <v>10</v>
      </c>
      <c r="BA9" s="78"/>
      <c r="BB9" s="78" t="s">
        <v>11</v>
      </c>
      <c r="BC9" s="78"/>
    </row>
    <row r="10" spans="2:55" ht="14.45" customHeight="1">
      <c r="B10" s="97"/>
      <c r="C10" s="54" t="s">
        <v>180</v>
      </c>
      <c r="D10" s="55"/>
      <c r="E10" s="55"/>
      <c r="F10" s="55"/>
      <c r="G10" s="55"/>
      <c r="H10" s="55"/>
      <c r="I10" s="56"/>
      <c r="J10" s="54" t="s">
        <v>181</v>
      </c>
      <c r="K10" s="70"/>
      <c r="L10" s="70"/>
      <c r="M10" s="70"/>
      <c r="N10" s="70"/>
      <c r="O10" s="70"/>
      <c r="P10" s="71"/>
      <c r="Q10" s="51">
        <v>0.5</v>
      </c>
      <c r="R10" s="52"/>
      <c r="S10" s="52"/>
      <c r="T10" s="12" t="s">
        <v>12</v>
      </c>
      <c r="U10" s="13"/>
      <c r="V10" s="13"/>
      <c r="W10" s="13"/>
      <c r="X10" s="13"/>
      <c r="Y10" s="13"/>
      <c r="Z10" s="13" t="s">
        <v>13</v>
      </c>
      <c r="AA10" s="13"/>
      <c r="AB10" s="13"/>
      <c r="AC10" s="13"/>
      <c r="AD10" s="13"/>
      <c r="AE10" s="14"/>
      <c r="AF10" s="63" t="s">
        <v>14</v>
      </c>
      <c r="AG10" s="39">
        <v>15</v>
      </c>
      <c r="AH10" s="66">
        <f>IF(SUM(AG10:AG14)=0,"",SUM(AG10:AG14))</f>
        <v>65</v>
      </c>
      <c r="AI10" s="12" t="s">
        <v>12</v>
      </c>
      <c r="AJ10" s="13"/>
      <c r="AK10" s="13"/>
      <c r="AL10" s="13"/>
      <c r="AM10" s="13"/>
      <c r="AN10" s="13"/>
      <c r="AO10" s="13" t="s">
        <v>13</v>
      </c>
      <c r="AP10" s="13"/>
      <c r="AQ10" s="13"/>
      <c r="AR10" s="13"/>
      <c r="AS10" s="13"/>
      <c r="AT10" s="14"/>
      <c r="AU10" s="63" t="s">
        <v>14</v>
      </c>
      <c r="AV10" s="11"/>
      <c r="AW10" s="66" t="str">
        <f t="shared" ref="AW10" si="0">IF(SUM(AV10:AV14)=0,"",SUM(AV10:AV14))</f>
        <v/>
      </c>
      <c r="AX10" s="69">
        <f>IF(AH10="","",AH10*Q10)</f>
        <v>32.5</v>
      </c>
      <c r="AY10" s="69"/>
      <c r="AZ10" s="69" t="str">
        <f>IF(AW10="","",AW10*Q10)</f>
        <v/>
      </c>
      <c r="BA10" s="69"/>
      <c r="BB10" s="53"/>
      <c r="BC10" s="53"/>
    </row>
    <row r="11" spans="2:55" ht="14.45" customHeight="1">
      <c r="B11" s="97"/>
      <c r="C11" s="57"/>
      <c r="D11" s="58"/>
      <c r="E11" s="58"/>
      <c r="F11" s="58"/>
      <c r="G11" s="58"/>
      <c r="H11" s="58"/>
      <c r="I11" s="59"/>
      <c r="J11" s="72"/>
      <c r="K11" s="73"/>
      <c r="L11" s="73"/>
      <c r="M11" s="73"/>
      <c r="N11" s="73"/>
      <c r="O11" s="73"/>
      <c r="P11" s="74"/>
      <c r="Q11" s="52"/>
      <c r="R11" s="52"/>
      <c r="S11" s="52"/>
      <c r="T11" s="6" t="s">
        <v>15</v>
      </c>
      <c r="U11" s="7"/>
      <c r="V11" s="7"/>
      <c r="W11" s="7"/>
      <c r="X11" s="7"/>
      <c r="Y11" s="7"/>
      <c r="Z11" s="7" t="s">
        <v>13</v>
      </c>
      <c r="AA11" s="7"/>
      <c r="AB11" s="7"/>
      <c r="AC11" s="7"/>
      <c r="AD11" s="7"/>
      <c r="AE11" s="8"/>
      <c r="AF11" s="64"/>
      <c r="AG11" s="39">
        <v>15</v>
      </c>
      <c r="AH11" s="67"/>
      <c r="AI11" s="6" t="s">
        <v>15</v>
      </c>
      <c r="AJ11" s="7"/>
      <c r="AK11" s="7"/>
      <c r="AL11" s="7"/>
      <c r="AM11" s="7"/>
      <c r="AN11" s="7"/>
      <c r="AO11" s="7" t="s">
        <v>13</v>
      </c>
      <c r="AP11" s="7"/>
      <c r="AQ11" s="7"/>
      <c r="AR11" s="7"/>
      <c r="AS11" s="7"/>
      <c r="AT11" s="8"/>
      <c r="AU11" s="64"/>
      <c r="AV11" s="11"/>
      <c r="AW11" s="67"/>
      <c r="AX11" s="69"/>
      <c r="AY11" s="69"/>
      <c r="AZ11" s="69"/>
      <c r="BA11" s="69"/>
      <c r="BB11" s="53"/>
      <c r="BC11" s="53"/>
    </row>
    <row r="12" spans="2:55" ht="14.45" customHeight="1">
      <c r="B12" s="97"/>
      <c r="C12" s="57"/>
      <c r="D12" s="58"/>
      <c r="E12" s="58"/>
      <c r="F12" s="58"/>
      <c r="G12" s="58"/>
      <c r="H12" s="58"/>
      <c r="I12" s="59"/>
      <c r="J12" s="72"/>
      <c r="K12" s="73"/>
      <c r="L12" s="73"/>
      <c r="M12" s="73"/>
      <c r="N12" s="73"/>
      <c r="O12" s="73"/>
      <c r="P12" s="74"/>
      <c r="Q12" s="52"/>
      <c r="R12" s="52"/>
      <c r="S12" s="52"/>
      <c r="T12" s="6" t="s">
        <v>16</v>
      </c>
      <c r="U12" s="7"/>
      <c r="V12" s="7"/>
      <c r="W12" s="7"/>
      <c r="X12" s="7"/>
      <c r="Y12" s="7"/>
      <c r="Z12" s="7" t="s">
        <v>13</v>
      </c>
      <c r="AA12" s="7"/>
      <c r="AB12" s="7"/>
      <c r="AC12" s="7"/>
      <c r="AD12" s="7"/>
      <c r="AE12" s="8"/>
      <c r="AF12" s="64"/>
      <c r="AG12" s="39">
        <v>10</v>
      </c>
      <c r="AH12" s="67"/>
      <c r="AI12" s="6" t="s">
        <v>16</v>
      </c>
      <c r="AJ12" s="7"/>
      <c r="AK12" s="7"/>
      <c r="AL12" s="7"/>
      <c r="AM12" s="7"/>
      <c r="AN12" s="7"/>
      <c r="AO12" s="7" t="s">
        <v>13</v>
      </c>
      <c r="AP12" s="7"/>
      <c r="AQ12" s="7"/>
      <c r="AR12" s="7"/>
      <c r="AS12" s="7"/>
      <c r="AT12" s="8"/>
      <c r="AU12" s="64"/>
      <c r="AV12" s="11"/>
      <c r="AW12" s="67"/>
      <c r="AX12" s="69"/>
      <c r="AY12" s="69"/>
      <c r="AZ12" s="69"/>
      <c r="BA12" s="69"/>
      <c r="BB12" s="53"/>
      <c r="BC12" s="53"/>
    </row>
    <row r="13" spans="2:55" ht="14.45" customHeight="1">
      <c r="B13" s="97"/>
      <c r="C13" s="57"/>
      <c r="D13" s="58"/>
      <c r="E13" s="58"/>
      <c r="F13" s="58"/>
      <c r="G13" s="58"/>
      <c r="H13" s="58"/>
      <c r="I13" s="59"/>
      <c r="J13" s="72"/>
      <c r="K13" s="73"/>
      <c r="L13" s="73"/>
      <c r="M13" s="73"/>
      <c r="N13" s="73"/>
      <c r="O13" s="73"/>
      <c r="P13" s="74"/>
      <c r="Q13" s="52"/>
      <c r="R13" s="52"/>
      <c r="S13" s="52"/>
      <c r="T13" s="6" t="s">
        <v>17</v>
      </c>
      <c r="U13" s="7"/>
      <c r="V13" s="7"/>
      <c r="W13" s="7"/>
      <c r="X13" s="7"/>
      <c r="Y13" s="7"/>
      <c r="Z13" s="7" t="s">
        <v>13</v>
      </c>
      <c r="AA13" s="7"/>
      <c r="AB13" s="7"/>
      <c r="AC13" s="7"/>
      <c r="AD13" s="7"/>
      <c r="AE13" s="8"/>
      <c r="AF13" s="64"/>
      <c r="AG13" s="39">
        <v>10</v>
      </c>
      <c r="AH13" s="67"/>
      <c r="AI13" s="6" t="s">
        <v>17</v>
      </c>
      <c r="AJ13" s="7"/>
      <c r="AK13" s="7"/>
      <c r="AL13" s="7"/>
      <c r="AM13" s="7"/>
      <c r="AN13" s="7"/>
      <c r="AO13" s="7" t="s">
        <v>13</v>
      </c>
      <c r="AP13" s="7"/>
      <c r="AQ13" s="7"/>
      <c r="AR13" s="7"/>
      <c r="AS13" s="7"/>
      <c r="AT13" s="8"/>
      <c r="AU13" s="64"/>
      <c r="AV13" s="11"/>
      <c r="AW13" s="67"/>
      <c r="AX13" s="69"/>
      <c r="AY13" s="69"/>
      <c r="AZ13" s="69"/>
      <c r="BA13" s="69"/>
      <c r="BB13" s="53"/>
      <c r="BC13" s="53"/>
    </row>
    <row r="14" spans="2:55" ht="14.45" customHeight="1">
      <c r="B14" s="97"/>
      <c r="C14" s="60"/>
      <c r="D14" s="61"/>
      <c r="E14" s="61"/>
      <c r="F14" s="61"/>
      <c r="G14" s="61"/>
      <c r="H14" s="61"/>
      <c r="I14" s="62"/>
      <c r="J14" s="75"/>
      <c r="K14" s="76"/>
      <c r="L14" s="76"/>
      <c r="M14" s="76"/>
      <c r="N14" s="76"/>
      <c r="O14" s="76"/>
      <c r="P14" s="77"/>
      <c r="Q14" s="52"/>
      <c r="R14" s="52"/>
      <c r="S14" s="52"/>
      <c r="T14" s="16" t="s">
        <v>18</v>
      </c>
      <c r="U14" s="17"/>
      <c r="V14" s="17"/>
      <c r="W14" s="17"/>
      <c r="X14" s="17"/>
      <c r="Y14" s="17"/>
      <c r="Z14" s="17" t="s">
        <v>13</v>
      </c>
      <c r="AA14" s="17"/>
      <c r="AB14" s="17"/>
      <c r="AC14" s="17"/>
      <c r="AD14" s="17"/>
      <c r="AE14" s="18"/>
      <c r="AF14" s="65"/>
      <c r="AG14" s="39">
        <v>15</v>
      </c>
      <c r="AH14" s="68"/>
      <c r="AI14" s="16" t="s">
        <v>18</v>
      </c>
      <c r="AJ14" s="17"/>
      <c r="AK14" s="17"/>
      <c r="AL14" s="17"/>
      <c r="AM14" s="17"/>
      <c r="AN14" s="17"/>
      <c r="AO14" s="17" t="s">
        <v>13</v>
      </c>
      <c r="AP14" s="17"/>
      <c r="AQ14" s="17"/>
      <c r="AR14" s="17"/>
      <c r="AS14" s="17"/>
      <c r="AT14" s="18"/>
      <c r="AU14" s="65"/>
      <c r="AV14" s="11"/>
      <c r="AW14" s="68"/>
      <c r="AX14" s="69"/>
      <c r="AY14" s="69"/>
      <c r="AZ14" s="69"/>
      <c r="BA14" s="69"/>
      <c r="BB14" s="53"/>
      <c r="BC14" s="53"/>
    </row>
    <row r="15" spans="2:55" ht="14.45" customHeight="1">
      <c r="B15" s="97"/>
      <c r="C15" s="54" t="s">
        <v>198</v>
      </c>
      <c r="D15" s="55"/>
      <c r="E15" s="55"/>
      <c r="F15" s="55"/>
      <c r="G15" s="55"/>
      <c r="H15" s="55"/>
      <c r="I15" s="56"/>
      <c r="J15" s="54" t="s">
        <v>197</v>
      </c>
      <c r="K15" s="55"/>
      <c r="L15" s="55"/>
      <c r="M15" s="55"/>
      <c r="N15" s="55"/>
      <c r="O15" s="55"/>
      <c r="P15" s="56"/>
      <c r="Q15" s="51">
        <v>0.3</v>
      </c>
      <c r="R15" s="52"/>
      <c r="S15" s="52"/>
      <c r="T15" s="12" t="s">
        <v>12</v>
      </c>
      <c r="U15" s="13"/>
      <c r="V15" s="13"/>
      <c r="W15" s="13"/>
      <c r="X15" s="13"/>
      <c r="Y15" s="13"/>
      <c r="Z15" s="13" t="s">
        <v>13</v>
      </c>
      <c r="AA15" s="13"/>
      <c r="AB15" s="13"/>
      <c r="AC15" s="13"/>
      <c r="AD15" s="13"/>
      <c r="AE15" s="14"/>
      <c r="AF15" s="63" t="s">
        <v>14</v>
      </c>
      <c r="AG15" s="39">
        <v>15</v>
      </c>
      <c r="AH15" s="66">
        <f>IF(SUM(AG15:AG19)=0,"",SUM(AG15:AG19))</f>
        <v>65</v>
      </c>
      <c r="AI15" s="12"/>
      <c r="AJ15" s="13"/>
      <c r="AK15" s="13"/>
      <c r="AL15" s="13"/>
      <c r="AM15" s="13"/>
      <c r="AN15" s="13"/>
      <c r="AO15" s="13" t="s">
        <v>13</v>
      </c>
      <c r="AP15" s="13"/>
      <c r="AQ15" s="13"/>
      <c r="AR15" s="13"/>
      <c r="AS15" s="13"/>
      <c r="AT15" s="14"/>
      <c r="AU15" s="63" t="s">
        <v>14</v>
      </c>
      <c r="AV15" s="11"/>
      <c r="AW15" s="66" t="str">
        <f t="shared" ref="AW15" si="1">IF(SUM(AV15:AV19)=0,"",SUM(AV15:AV19))</f>
        <v/>
      </c>
      <c r="AX15" s="69">
        <f t="shared" ref="AX15" si="2">IF(AH15="","",AH15*Q15)</f>
        <v>19.5</v>
      </c>
      <c r="AY15" s="69"/>
      <c r="AZ15" s="69" t="str">
        <f t="shared" ref="AZ15" si="3">IF(AW15="","",AW15*Q15)</f>
        <v/>
      </c>
      <c r="BA15" s="69"/>
      <c r="BB15" s="53"/>
      <c r="BC15" s="53"/>
    </row>
    <row r="16" spans="2:55" ht="14.45" customHeight="1">
      <c r="B16" s="97"/>
      <c r="C16" s="57"/>
      <c r="D16" s="58"/>
      <c r="E16" s="58"/>
      <c r="F16" s="58"/>
      <c r="G16" s="58"/>
      <c r="H16" s="58"/>
      <c r="I16" s="59"/>
      <c r="J16" s="57"/>
      <c r="K16" s="58"/>
      <c r="L16" s="58"/>
      <c r="M16" s="58"/>
      <c r="N16" s="58"/>
      <c r="O16" s="58"/>
      <c r="P16" s="59"/>
      <c r="Q16" s="52"/>
      <c r="R16" s="52"/>
      <c r="S16" s="52"/>
      <c r="T16" s="6" t="s">
        <v>15</v>
      </c>
      <c r="U16" s="7"/>
      <c r="V16" s="7"/>
      <c r="W16" s="7"/>
      <c r="X16" s="7"/>
      <c r="Y16" s="7"/>
      <c r="Z16" s="7" t="s">
        <v>13</v>
      </c>
      <c r="AA16" s="7"/>
      <c r="AB16" s="7"/>
      <c r="AC16" s="7"/>
      <c r="AD16" s="7"/>
      <c r="AE16" s="8"/>
      <c r="AF16" s="64"/>
      <c r="AG16" s="39">
        <v>15</v>
      </c>
      <c r="AH16" s="67"/>
      <c r="AI16" s="6" t="s">
        <v>15</v>
      </c>
      <c r="AJ16" s="7"/>
      <c r="AK16" s="7"/>
      <c r="AL16" s="7"/>
      <c r="AM16" s="7"/>
      <c r="AN16" s="7"/>
      <c r="AO16" s="7" t="s">
        <v>13</v>
      </c>
      <c r="AP16" s="7"/>
      <c r="AQ16" s="7"/>
      <c r="AR16" s="7"/>
      <c r="AS16" s="7"/>
      <c r="AT16" s="8"/>
      <c r="AU16" s="64"/>
      <c r="AV16" s="11"/>
      <c r="AW16" s="67"/>
      <c r="AX16" s="69"/>
      <c r="AY16" s="69"/>
      <c r="AZ16" s="69"/>
      <c r="BA16" s="69"/>
      <c r="BB16" s="53"/>
      <c r="BC16" s="53"/>
    </row>
    <row r="17" spans="2:63" ht="14.45" customHeight="1">
      <c r="B17" s="97"/>
      <c r="C17" s="57"/>
      <c r="D17" s="58"/>
      <c r="E17" s="58"/>
      <c r="F17" s="58"/>
      <c r="G17" s="58"/>
      <c r="H17" s="58"/>
      <c r="I17" s="59"/>
      <c r="J17" s="57"/>
      <c r="K17" s="58"/>
      <c r="L17" s="58"/>
      <c r="M17" s="58"/>
      <c r="N17" s="58"/>
      <c r="O17" s="58"/>
      <c r="P17" s="59"/>
      <c r="Q17" s="52"/>
      <c r="R17" s="52"/>
      <c r="S17" s="52"/>
      <c r="T17" s="6" t="s">
        <v>16</v>
      </c>
      <c r="U17" s="7"/>
      <c r="V17" s="7"/>
      <c r="W17" s="7"/>
      <c r="X17" s="7"/>
      <c r="Y17" s="7"/>
      <c r="Z17" s="7" t="s">
        <v>13</v>
      </c>
      <c r="AA17" s="7"/>
      <c r="AB17" s="7"/>
      <c r="AC17" s="7"/>
      <c r="AD17" s="7"/>
      <c r="AE17" s="8"/>
      <c r="AF17" s="64"/>
      <c r="AG17" s="39">
        <v>10</v>
      </c>
      <c r="AH17" s="67"/>
      <c r="AI17" s="6" t="s">
        <v>16</v>
      </c>
      <c r="AJ17" s="7"/>
      <c r="AK17" s="7"/>
      <c r="AL17" s="7"/>
      <c r="AM17" s="7"/>
      <c r="AN17" s="7"/>
      <c r="AO17" s="7" t="s">
        <v>13</v>
      </c>
      <c r="AP17" s="7"/>
      <c r="AQ17" s="7"/>
      <c r="AR17" s="7"/>
      <c r="AS17" s="7"/>
      <c r="AT17" s="8"/>
      <c r="AU17" s="64"/>
      <c r="AV17" s="11"/>
      <c r="AW17" s="67"/>
      <c r="AX17" s="69"/>
      <c r="AY17" s="69"/>
      <c r="AZ17" s="69"/>
      <c r="BA17" s="69"/>
      <c r="BB17" s="53"/>
      <c r="BC17" s="53"/>
    </row>
    <row r="18" spans="2:63" ht="14.45" customHeight="1">
      <c r="B18" s="97"/>
      <c r="C18" s="57"/>
      <c r="D18" s="58"/>
      <c r="E18" s="58"/>
      <c r="F18" s="58"/>
      <c r="G18" s="58"/>
      <c r="H18" s="58"/>
      <c r="I18" s="59"/>
      <c r="J18" s="57"/>
      <c r="K18" s="58"/>
      <c r="L18" s="58"/>
      <c r="M18" s="58"/>
      <c r="N18" s="58"/>
      <c r="O18" s="58"/>
      <c r="P18" s="59"/>
      <c r="Q18" s="52"/>
      <c r="R18" s="52"/>
      <c r="S18" s="52"/>
      <c r="T18" s="6" t="s">
        <v>17</v>
      </c>
      <c r="U18" s="7"/>
      <c r="V18" s="7"/>
      <c r="W18" s="7"/>
      <c r="X18" s="7"/>
      <c r="Y18" s="7"/>
      <c r="Z18" s="7" t="s">
        <v>13</v>
      </c>
      <c r="AA18" s="7"/>
      <c r="AB18" s="7"/>
      <c r="AC18" s="7"/>
      <c r="AD18" s="7"/>
      <c r="AE18" s="8"/>
      <c r="AF18" s="64"/>
      <c r="AG18" s="39">
        <v>10</v>
      </c>
      <c r="AH18" s="67"/>
      <c r="AI18" s="6" t="s">
        <v>17</v>
      </c>
      <c r="AJ18" s="7"/>
      <c r="AK18" s="7"/>
      <c r="AL18" s="7"/>
      <c r="AM18" s="7"/>
      <c r="AN18" s="7"/>
      <c r="AO18" s="7" t="s">
        <v>13</v>
      </c>
      <c r="AP18" s="7"/>
      <c r="AQ18" s="7"/>
      <c r="AR18" s="7"/>
      <c r="AS18" s="7"/>
      <c r="AT18" s="8"/>
      <c r="AU18" s="64"/>
      <c r="AV18" s="11"/>
      <c r="AW18" s="67"/>
      <c r="AX18" s="69"/>
      <c r="AY18" s="69"/>
      <c r="AZ18" s="69"/>
      <c r="BA18" s="69"/>
      <c r="BB18" s="53"/>
      <c r="BC18" s="53"/>
    </row>
    <row r="19" spans="2:63" ht="14.45" customHeight="1">
      <c r="B19" s="97"/>
      <c r="C19" s="60"/>
      <c r="D19" s="61"/>
      <c r="E19" s="61"/>
      <c r="F19" s="61"/>
      <c r="G19" s="61"/>
      <c r="H19" s="61"/>
      <c r="I19" s="62"/>
      <c r="J19" s="60"/>
      <c r="K19" s="61"/>
      <c r="L19" s="61"/>
      <c r="M19" s="61"/>
      <c r="N19" s="61"/>
      <c r="O19" s="61"/>
      <c r="P19" s="62"/>
      <c r="Q19" s="52"/>
      <c r="R19" s="52"/>
      <c r="S19" s="52"/>
      <c r="T19" s="16" t="s">
        <v>18</v>
      </c>
      <c r="U19" s="17"/>
      <c r="V19" s="17"/>
      <c r="W19" s="17"/>
      <c r="X19" s="17"/>
      <c r="Y19" s="17"/>
      <c r="Z19" s="17" t="s">
        <v>13</v>
      </c>
      <c r="AA19" s="17"/>
      <c r="AB19" s="17"/>
      <c r="AC19" s="17"/>
      <c r="AD19" s="17"/>
      <c r="AE19" s="18"/>
      <c r="AF19" s="65"/>
      <c r="AG19" s="39">
        <v>15</v>
      </c>
      <c r="AH19" s="68"/>
      <c r="AI19" s="16" t="s">
        <v>18</v>
      </c>
      <c r="AJ19" s="17"/>
      <c r="AK19" s="17"/>
      <c r="AL19" s="17"/>
      <c r="AM19" s="17"/>
      <c r="AN19" s="17"/>
      <c r="AO19" s="17" t="s">
        <v>13</v>
      </c>
      <c r="AP19" s="17"/>
      <c r="AQ19" s="17"/>
      <c r="AR19" s="17"/>
      <c r="AS19" s="17"/>
      <c r="AT19" s="18"/>
      <c r="AU19" s="65"/>
      <c r="AV19" s="11"/>
      <c r="AW19" s="68"/>
      <c r="AX19" s="69"/>
      <c r="AY19" s="69"/>
      <c r="AZ19" s="69"/>
      <c r="BA19" s="69"/>
      <c r="BB19" s="53"/>
      <c r="BC19" s="53"/>
    </row>
    <row r="20" spans="2:63" ht="14.45" customHeight="1">
      <c r="B20" s="97"/>
      <c r="C20" s="54" t="s">
        <v>211</v>
      </c>
      <c r="D20" s="70"/>
      <c r="E20" s="70"/>
      <c r="F20" s="70"/>
      <c r="G20" s="70"/>
      <c r="H20" s="70"/>
      <c r="I20" s="71"/>
      <c r="J20" s="54" t="s">
        <v>210</v>
      </c>
      <c r="K20" s="55"/>
      <c r="L20" s="55"/>
      <c r="M20" s="55"/>
      <c r="N20" s="55"/>
      <c r="O20" s="55"/>
      <c r="P20" s="56"/>
      <c r="Q20" s="51">
        <v>0.2</v>
      </c>
      <c r="R20" s="52"/>
      <c r="S20" s="52"/>
      <c r="T20" s="12" t="s">
        <v>12</v>
      </c>
      <c r="U20" s="13"/>
      <c r="V20" s="13"/>
      <c r="W20" s="13"/>
      <c r="X20" s="13"/>
      <c r="Y20" s="13"/>
      <c r="Z20" s="13" t="s">
        <v>13</v>
      </c>
      <c r="AA20" s="13"/>
      <c r="AB20" s="13"/>
      <c r="AC20" s="13"/>
      <c r="AD20" s="13"/>
      <c r="AE20" s="14"/>
      <c r="AF20" s="63" t="s">
        <v>14</v>
      </c>
      <c r="AG20" s="39">
        <v>15</v>
      </c>
      <c r="AH20" s="66">
        <f>IF(SUM(AG20:AG24)=0,"",SUM(AG20:AG24))</f>
        <v>60</v>
      </c>
      <c r="AI20" s="12" t="s">
        <v>12</v>
      </c>
      <c r="AJ20" s="13"/>
      <c r="AK20" s="13"/>
      <c r="AL20" s="13"/>
      <c r="AM20" s="13"/>
      <c r="AN20" s="13"/>
      <c r="AO20" s="13" t="s">
        <v>13</v>
      </c>
      <c r="AP20" s="13"/>
      <c r="AQ20" s="13"/>
      <c r="AR20" s="13"/>
      <c r="AS20" s="13"/>
      <c r="AT20" s="14"/>
      <c r="AU20" s="63" t="s">
        <v>14</v>
      </c>
      <c r="AV20" s="11"/>
      <c r="AW20" s="66" t="str">
        <f t="shared" ref="AW20" si="4">IF(SUM(AV20:AV24)=0,"",SUM(AV20:AV24))</f>
        <v/>
      </c>
      <c r="AX20" s="69">
        <f t="shared" ref="AX20" si="5">IF(AH20="","",AH20*Q20)</f>
        <v>12</v>
      </c>
      <c r="AY20" s="69"/>
      <c r="AZ20" s="69" t="str">
        <f t="shared" ref="AZ20" si="6">IF(AW20="","",AW20*Q20)</f>
        <v/>
      </c>
      <c r="BA20" s="69"/>
      <c r="BB20" s="53"/>
      <c r="BC20" s="53"/>
    </row>
    <row r="21" spans="2:63" ht="14.45" customHeight="1">
      <c r="B21" s="97"/>
      <c r="C21" s="72"/>
      <c r="D21" s="73"/>
      <c r="E21" s="73"/>
      <c r="F21" s="73"/>
      <c r="G21" s="73"/>
      <c r="H21" s="73"/>
      <c r="I21" s="74"/>
      <c r="J21" s="57"/>
      <c r="K21" s="58"/>
      <c r="L21" s="58"/>
      <c r="M21" s="58"/>
      <c r="N21" s="58"/>
      <c r="O21" s="58"/>
      <c r="P21" s="59"/>
      <c r="Q21" s="52"/>
      <c r="R21" s="52"/>
      <c r="S21" s="52"/>
      <c r="T21" s="6" t="s">
        <v>15</v>
      </c>
      <c r="U21" s="7"/>
      <c r="V21" s="7"/>
      <c r="W21" s="7"/>
      <c r="X21" s="7"/>
      <c r="Y21" s="7"/>
      <c r="Z21" s="7" t="s">
        <v>13</v>
      </c>
      <c r="AA21" s="7"/>
      <c r="AB21" s="7"/>
      <c r="AC21" s="7"/>
      <c r="AD21" s="7"/>
      <c r="AE21" s="8"/>
      <c r="AF21" s="64"/>
      <c r="AG21" s="39">
        <v>15</v>
      </c>
      <c r="AH21" s="67"/>
      <c r="AI21" s="6" t="s">
        <v>15</v>
      </c>
      <c r="AJ21" s="7"/>
      <c r="AK21" s="7"/>
      <c r="AL21" s="7"/>
      <c r="AM21" s="7"/>
      <c r="AN21" s="7"/>
      <c r="AO21" s="7" t="s">
        <v>13</v>
      </c>
      <c r="AP21" s="7"/>
      <c r="AQ21" s="7"/>
      <c r="AR21" s="7"/>
      <c r="AS21" s="7"/>
      <c r="AT21" s="8"/>
      <c r="AU21" s="64"/>
      <c r="AV21" s="11"/>
      <c r="AW21" s="67"/>
      <c r="AX21" s="69"/>
      <c r="AY21" s="69"/>
      <c r="AZ21" s="69"/>
      <c r="BA21" s="69"/>
      <c r="BB21" s="53"/>
      <c r="BC21" s="53"/>
    </row>
    <row r="22" spans="2:63" ht="14.45" customHeight="1">
      <c r="B22" s="97"/>
      <c r="C22" s="72"/>
      <c r="D22" s="73"/>
      <c r="E22" s="73"/>
      <c r="F22" s="73"/>
      <c r="G22" s="73"/>
      <c r="H22" s="73"/>
      <c r="I22" s="74"/>
      <c r="J22" s="57"/>
      <c r="K22" s="58"/>
      <c r="L22" s="58"/>
      <c r="M22" s="58"/>
      <c r="N22" s="58"/>
      <c r="O22" s="58"/>
      <c r="P22" s="59"/>
      <c r="Q22" s="52"/>
      <c r="R22" s="52"/>
      <c r="S22" s="52"/>
      <c r="T22" s="6" t="s">
        <v>16</v>
      </c>
      <c r="U22" s="7"/>
      <c r="V22" s="7"/>
      <c r="W22" s="7"/>
      <c r="X22" s="7"/>
      <c r="Y22" s="7"/>
      <c r="Z22" s="7" t="s">
        <v>13</v>
      </c>
      <c r="AA22" s="7"/>
      <c r="AB22" s="7"/>
      <c r="AC22" s="7"/>
      <c r="AD22" s="7"/>
      <c r="AE22" s="8"/>
      <c r="AF22" s="64"/>
      <c r="AG22" s="39">
        <v>10</v>
      </c>
      <c r="AH22" s="67"/>
      <c r="AI22" s="6" t="s">
        <v>16</v>
      </c>
      <c r="AJ22" s="7"/>
      <c r="AK22" s="7"/>
      <c r="AL22" s="7"/>
      <c r="AM22" s="7"/>
      <c r="AN22" s="7"/>
      <c r="AO22" s="7" t="s">
        <v>13</v>
      </c>
      <c r="AP22" s="7"/>
      <c r="AQ22" s="7"/>
      <c r="AR22" s="7"/>
      <c r="AS22" s="7"/>
      <c r="AT22" s="8"/>
      <c r="AU22" s="64"/>
      <c r="AV22" s="11"/>
      <c r="AW22" s="67"/>
      <c r="AX22" s="69"/>
      <c r="AY22" s="69"/>
      <c r="AZ22" s="69"/>
      <c r="BA22" s="69"/>
      <c r="BB22" s="53"/>
      <c r="BC22" s="53"/>
    </row>
    <row r="23" spans="2:63" ht="14.45" customHeight="1">
      <c r="B23" s="97"/>
      <c r="C23" s="72"/>
      <c r="D23" s="73"/>
      <c r="E23" s="73"/>
      <c r="F23" s="73"/>
      <c r="G23" s="73"/>
      <c r="H23" s="73"/>
      <c r="I23" s="74"/>
      <c r="J23" s="57"/>
      <c r="K23" s="58"/>
      <c r="L23" s="58"/>
      <c r="M23" s="58"/>
      <c r="N23" s="58"/>
      <c r="O23" s="58"/>
      <c r="P23" s="59"/>
      <c r="Q23" s="52"/>
      <c r="R23" s="52"/>
      <c r="S23" s="52"/>
      <c r="T23" s="6" t="s">
        <v>17</v>
      </c>
      <c r="U23" s="7"/>
      <c r="V23" s="7"/>
      <c r="W23" s="7"/>
      <c r="X23" s="7"/>
      <c r="Y23" s="7"/>
      <c r="Z23" s="7" t="s">
        <v>13</v>
      </c>
      <c r="AA23" s="7"/>
      <c r="AB23" s="7"/>
      <c r="AC23" s="7"/>
      <c r="AD23" s="7"/>
      <c r="AE23" s="8"/>
      <c r="AF23" s="64"/>
      <c r="AG23" s="39">
        <v>10</v>
      </c>
      <c r="AH23" s="67"/>
      <c r="AI23" s="6" t="s">
        <v>17</v>
      </c>
      <c r="AJ23" s="7"/>
      <c r="AK23" s="7"/>
      <c r="AL23" s="7"/>
      <c r="AM23" s="7"/>
      <c r="AN23" s="7"/>
      <c r="AO23" s="7" t="s">
        <v>13</v>
      </c>
      <c r="AP23" s="7"/>
      <c r="AQ23" s="7"/>
      <c r="AR23" s="7"/>
      <c r="AS23" s="7"/>
      <c r="AT23" s="8"/>
      <c r="AU23" s="64"/>
      <c r="AV23" s="11"/>
      <c r="AW23" s="67"/>
      <c r="AX23" s="69"/>
      <c r="AY23" s="69"/>
      <c r="AZ23" s="69"/>
      <c r="BA23" s="69"/>
      <c r="BB23" s="53"/>
      <c r="BC23" s="53"/>
    </row>
    <row r="24" spans="2:63" ht="14.45" customHeight="1">
      <c r="B24" s="98"/>
      <c r="C24" s="75"/>
      <c r="D24" s="76"/>
      <c r="E24" s="76"/>
      <c r="F24" s="76"/>
      <c r="G24" s="76"/>
      <c r="H24" s="76"/>
      <c r="I24" s="77"/>
      <c r="J24" s="60"/>
      <c r="K24" s="61"/>
      <c r="L24" s="61"/>
      <c r="M24" s="61"/>
      <c r="N24" s="61"/>
      <c r="O24" s="61"/>
      <c r="P24" s="62"/>
      <c r="Q24" s="52"/>
      <c r="R24" s="52"/>
      <c r="S24" s="52"/>
      <c r="T24" s="16" t="s">
        <v>18</v>
      </c>
      <c r="U24" s="17"/>
      <c r="V24" s="17"/>
      <c r="W24" s="17"/>
      <c r="X24" s="17"/>
      <c r="Y24" s="17"/>
      <c r="Z24" s="17" t="s">
        <v>13</v>
      </c>
      <c r="AA24" s="17"/>
      <c r="AB24" s="17"/>
      <c r="AC24" s="17"/>
      <c r="AD24" s="17"/>
      <c r="AE24" s="18"/>
      <c r="AF24" s="65"/>
      <c r="AG24" s="39">
        <v>10</v>
      </c>
      <c r="AH24" s="68"/>
      <c r="AI24" s="16" t="s">
        <v>18</v>
      </c>
      <c r="AJ24" s="17"/>
      <c r="AK24" s="17"/>
      <c r="AL24" s="17"/>
      <c r="AM24" s="17"/>
      <c r="AN24" s="17"/>
      <c r="AO24" s="17" t="s">
        <v>13</v>
      </c>
      <c r="AP24" s="17"/>
      <c r="AQ24" s="17"/>
      <c r="AR24" s="17"/>
      <c r="AS24" s="17"/>
      <c r="AT24" s="18"/>
      <c r="AU24" s="65"/>
      <c r="AV24" s="11"/>
      <c r="AW24" s="68"/>
      <c r="AX24" s="69"/>
      <c r="AY24" s="69"/>
      <c r="AZ24" s="69"/>
      <c r="BA24" s="69"/>
      <c r="BB24" s="53"/>
      <c r="BC24" s="53"/>
    </row>
    <row r="25" spans="2:63" ht="14.45" customHeight="1">
      <c r="B25" s="85" t="s">
        <v>19</v>
      </c>
      <c r="C25" s="86"/>
      <c r="D25" s="86"/>
      <c r="E25" s="86"/>
      <c r="F25" s="86"/>
      <c r="G25" s="86"/>
      <c r="H25" s="86"/>
      <c r="I25" s="86"/>
      <c r="J25" s="86"/>
      <c r="K25" s="86"/>
      <c r="L25" s="86"/>
      <c r="M25" s="86"/>
      <c r="N25" s="86"/>
      <c r="O25" s="86"/>
      <c r="P25" s="87"/>
      <c r="Q25" s="88">
        <f>IF(OR(SUM(Q10:S24)=0,SUM(Q10:S24)=""),"",SUM(Q10:S24))</f>
        <v>1</v>
      </c>
      <c r="R25" s="89"/>
      <c r="S25" s="90"/>
      <c r="T25" s="91" t="s">
        <v>20</v>
      </c>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3"/>
      <c r="AX25" s="94">
        <f>IF(OR(SUM(AX10:AY24)=0,SUM(AX10:AY24)=""),"",SUM(AX10:AY24))</f>
        <v>64</v>
      </c>
      <c r="AY25" s="95"/>
      <c r="AZ25" s="94" t="str">
        <f>IF(OR(SUM(AZ10:BA24)=0,SUM(AZ10:BA24)=""),"",SUM(AZ10:BA24))</f>
        <v/>
      </c>
      <c r="BA25" s="95"/>
      <c r="BB25" s="94" t="str">
        <f>IF(OR(SUM(BB10:BC24)=0,SUM(BB10:BC24)=""),"",SUM(BB10:BC24))</f>
        <v/>
      </c>
      <c r="BC25" s="95"/>
      <c r="BF25" s="127" t="s">
        <v>21</v>
      </c>
      <c r="BG25" s="127"/>
      <c r="BI25" s="127" t="s">
        <v>22</v>
      </c>
      <c r="BJ25" s="127"/>
      <c r="BK25" s="127"/>
    </row>
    <row r="26" spans="2:63" ht="6" customHeight="1">
      <c r="C26" s="9"/>
      <c r="D26" s="9"/>
      <c r="E26" s="9"/>
      <c r="F26" s="9"/>
      <c r="G26" s="9"/>
      <c r="H26" s="15"/>
      <c r="I26" s="15"/>
      <c r="J26" s="15"/>
      <c r="K26" s="15"/>
      <c r="L26" s="15"/>
      <c r="M26" s="15"/>
      <c r="N26" s="15"/>
      <c r="O26" s="15"/>
      <c r="P26" s="15"/>
      <c r="Q26" s="9"/>
      <c r="R26" s="9"/>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9"/>
      <c r="AY26" s="9"/>
      <c r="AZ26" s="9"/>
      <c r="BA26" s="9"/>
      <c r="BB26" s="9"/>
      <c r="BC26" s="9"/>
      <c r="BF26" s="127"/>
      <c r="BG26" s="127"/>
      <c r="BI26" s="127"/>
      <c r="BJ26" s="127"/>
      <c r="BK26" s="127"/>
    </row>
    <row r="27" spans="2:63" ht="24" customHeight="1">
      <c r="B27" s="140" t="s">
        <v>178</v>
      </c>
      <c r="C27" s="78" t="s">
        <v>23</v>
      </c>
      <c r="D27" s="78"/>
      <c r="E27" s="78"/>
      <c r="F27" s="78"/>
      <c r="G27" s="78"/>
      <c r="H27" s="78" t="s">
        <v>24</v>
      </c>
      <c r="I27" s="78"/>
      <c r="J27" s="78"/>
      <c r="K27" s="78"/>
      <c r="L27" s="78"/>
      <c r="M27" s="78"/>
      <c r="N27" s="78"/>
      <c r="O27" s="78"/>
      <c r="P27" s="78"/>
      <c r="Q27" s="78" t="s">
        <v>25</v>
      </c>
      <c r="R27" s="78"/>
      <c r="S27" s="78"/>
      <c r="T27" s="102" t="s">
        <v>26</v>
      </c>
      <c r="U27" s="78"/>
      <c r="V27" s="78"/>
      <c r="W27" s="78"/>
      <c r="X27" s="78"/>
      <c r="Y27" s="78"/>
      <c r="Z27" s="102" t="s">
        <v>27</v>
      </c>
      <c r="AA27" s="78"/>
      <c r="AB27" s="78"/>
      <c r="AC27" s="78"/>
      <c r="AD27" s="78"/>
      <c r="AE27" s="78"/>
      <c r="AF27" s="102" t="s">
        <v>28</v>
      </c>
      <c r="AG27" s="78"/>
      <c r="AH27" s="78"/>
      <c r="AI27" s="78"/>
      <c r="AJ27" s="78"/>
      <c r="AK27" s="78"/>
      <c r="AL27" s="102" t="s">
        <v>29</v>
      </c>
      <c r="AM27" s="78"/>
      <c r="AN27" s="78"/>
      <c r="AO27" s="78"/>
      <c r="AP27" s="78"/>
      <c r="AQ27" s="78"/>
      <c r="AR27" s="102" t="s">
        <v>30</v>
      </c>
      <c r="AS27" s="78"/>
      <c r="AT27" s="78"/>
      <c r="AU27" s="78"/>
      <c r="AV27" s="78"/>
      <c r="AW27" s="78"/>
      <c r="AX27" s="78" t="s">
        <v>9</v>
      </c>
      <c r="AY27" s="78"/>
      <c r="AZ27" s="78" t="s">
        <v>10</v>
      </c>
      <c r="BA27" s="78"/>
      <c r="BB27" s="78" t="s">
        <v>11</v>
      </c>
      <c r="BC27" s="78"/>
      <c r="BF27" s="106" t="s">
        <v>31</v>
      </c>
      <c r="BG27" s="106"/>
      <c r="BI27" s="36" t="s">
        <v>32</v>
      </c>
      <c r="BJ27" s="36" t="s">
        <v>33</v>
      </c>
      <c r="BK27" s="36" t="s">
        <v>34</v>
      </c>
    </row>
    <row r="28" spans="2:63" ht="59.25" customHeight="1">
      <c r="B28" s="141"/>
      <c r="C28" s="128" t="s">
        <v>35</v>
      </c>
      <c r="D28" s="129"/>
      <c r="E28" s="129"/>
      <c r="F28" s="129"/>
      <c r="G28" s="130"/>
      <c r="H28" s="131" t="s">
        <v>36</v>
      </c>
      <c r="I28" s="132"/>
      <c r="J28" s="132"/>
      <c r="K28" s="132"/>
      <c r="L28" s="132"/>
      <c r="M28" s="132"/>
      <c r="N28" s="132"/>
      <c r="O28" s="132"/>
      <c r="P28" s="133"/>
      <c r="Q28" s="121">
        <v>8</v>
      </c>
      <c r="R28" s="122"/>
      <c r="S28" s="123"/>
      <c r="T28" s="131" t="s">
        <v>37</v>
      </c>
      <c r="U28" s="132"/>
      <c r="V28" s="132"/>
      <c r="W28" s="132"/>
      <c r="X28" s="132"/>
      <c r="Y28" s="133"/>
      <c r="Z28" s="131" t="s">
        <v>38</v>
      </c>
      <c r="AA28" s="132"/>
      <c r="AB28" s="132"/>
      <c r="AC28" s="132"/>
      <c r="AD28" s="132"/>
      <c r="AE28" s="133"/>
      <c r="AF28" s="131" t="s">
        <v>39</v>
      </c>
      <c r="AG28" s="132"/>
      <c r="AH28" s="132"/>
      <c r="AI28" s="132"/>
      <c r="AJ28" s="132"/>
      <c r="AK28" s="133"/>
      <c r="AL28" s="131" t="s">
        <v>40</v>
      </c>
      <c r="AM28" s="132"/>
      <c r="AN28" s="132"/>
      <c r="AO28" s="132"/>
      <c r="AP28" s="132"/>
      <c r="AQ28" s="133"/>
      <c r="AR28" s="131" t="s">
        <v>41</v>
      </c>
      <c r="AS28" s="132"/>
      <c r="AT28" s="132"/>
      <c r="AU28" s="132"/>
      <c r="AV28" s="132"/>
      <c r="AW28" s="133"/>
      <c r="AX28" s="124">
        <v>0</v>
      </c>
      <c r="AY28" s="124"/>
      <c r="AZ28" s="103"/>
      <c r="BA28" s="104"/>
      <c r="BB28" s="105"/>
      <c r="BC28" s="105"/>
      <c r="BF28" s="106"/>
      <c r="BG28" s="106"/>
      <c r="BI28" s="37"/>
      <c r="BJ28" s="37"/>
      <c r="BK28" s="37"/>
    </row>
    <row r="29" spans="2:63" ht="37.5" customHeight="1">
      <c r="B29" s="141"/>
      <c r="C29" s="107" t="s">
        <v>42</v>
      </c>
      <c r="D29" s="119"/>
      <c r="E29" s="119"/>
      <c r="F29" s="119"/>
      <c r="G29" s="120"/>
      <c r="H29" s="110" t="s">
        <v>43</v>
      </c>
      <c r="I29" s="111"/>
      <c r="J29" s="111"/>
      <c r="K29" s="111"/>
      <c r="L29" s="111"/>
      <c r="M29" s="111"/>
      <c r="N29" s="111"/>
      <c r="O29" s="111"/>
      <c r="P29" s="112"/>
      <c r="Q29" s="121">
        <v>8</v>
      </c>
      <c r="R29" s="122"/>
      <c r="S29" s="123"/>
      <c r="T29" s="110" t="s">
        <v>44</v>
      </c>
      <c r="U29" s="111"/>
      <c r="V29" s="111"/>
      <c r="W29" s="111"/>
      <c r="X29" s="111"/>
      <c r="Y29" s="112"/>
      <c r="Z29" s="110" t="s">
        <v>177</v>
      </c>
      <c r="AA29" s="111"/>
      <c r="AB29" s="111"/>
      <c r="AC29" s="111"/>
      <c r="AD29" s="111"/>
      <c r="AE29" s="112"/>
      <c r="AF29" s="110" t="s">
        <v>45</v>
      </c>
      <c r="AG29" s="111"/>
      <c r="AH29" s="111"/>
      <c r="AI29" s="111"/>
      <c r="AJ29" s="111"/>
      <c r="AK29" s="112"/>
      <c r="AL29" s="110" t="s">
        <v>46</v>
      </c>
      <c r="AM29" s="111"/>
      <c r="AN29" s="111"/>
      <c r="AO29" s="111"/>
      <c r="AP29" s="111"/>
      <c r="AQ29" s="112"/>
      <c r="AR29" s="110" t="s">
        <v>47</v>
      </c>
      <c r="AS29" s="111"/>
      <c r="AT29" s="111"/>
      <c r="AU29" s="111"/>
      <c r="AV29" s="111"/>
      <c r="AW29" s="112"/>
      <c r="AX29" s="124">
        <v>0</v>
      </c>
      <c r="AY29" s="124"/>
      <c r="AZ29" s="103"/>
      <c r="BA29" s="104"/>
      <c r="BB29" s="125"/>
      <c r="BC29" s="126"/>
      <c r="BF29" s="79"/>
      <c r="BG29" s="80"/>
      <c r="BI29" s="37"/>
      <c r="BJ29" s="37"/>
      <c r="BK29" s="37"/>
    </row>
    <row r="30" spans="2:63" ht="57" customHeight="1">
      <c r="B30" s="141"/>
      <c r="C30" s="107" t="s">
        <v>48</v>
      </c>
      <c r="D30" s="108"/>
      <c r="E30" s="108"/>
      <c r="F30" s="108"/>
      <c r="G30" s="109"/>
      <c r="H30" s="110" t="s">
        <v>49</v>
      </c>
      <c r="I30" s="111"/>
      <c r="J30" s="111"/>
      <c r="K30" s="111"/>
      <c r="L30" s="111"/>
      <c r="M30" s="111"/>
      <c r="N30" s="111"/>
      <c r="O30" s="111"/>
      <c r="P30" s="112"/>
      <c r="Q30" s="113">
        <v>8</v>
      </c>
      <c r="R30" s="114"/>
      <c r="S30" s="115"/>
      <c r="T30" s="110" t="s">
        <v>50</v>
      </c>
      <c r="U30" s="111"/>
      <c r="V30" s="111"/>
      <c r="W30" s="111"/>
      <c r="X30" s="111"/>
      <c r="Y30" s="112"/>
      <c r="Z30" s="116" t="s">
        <v>51</v>
      </c>
      <c r="AA30" s="117"/>
      <c r="AB30" s="117"/>
      <c r="AC30" s="117"/>
      <c r="AD30" s="117"/>
      <c r="AE30" s="118"/>
      <c r="AF30" s="116" t="s">
        <v>52</v>
      </c>
      <c r="AG30" s="117"/>
      <c r="AH30" s="117"/>
      <c r="AI30" s="117"/>
      <c r="AJ30" s="117"/>
      <c r="AK30" s="118"/>
      <c r="AL30" s="116" t="s">
        <v>53</v>
      </c>
      <c r="AM30" s="117"/>
      <c r="AN30" s="117"/>
      <c r="AO30" s="117"/>
      <c r="AP30" s="117"/>
      <c r="AQ30" s="118"/>
      <c r="AR30" s="116" t="s">
        <v>54</v>
      </c>
      <c r="AS30" s="117"/>
      <c r="AT30" s="117"/>
      <c r="AU30" s="117"/>
      <c r="AV30" s="117"/>
      <c r="AW30" s="118"/>
      <c r="AX30" s="124">
        <v>0</v>
      </c>
      <c r="AY30" s="124"/>
      <c r="AZ30" s="103"/>
      <c r="BA30" s="104"/>
      <c r="BB30" s="105"/>
      <c r="BC30" s="105"/>
      <c r="BF30" s="106"/>
      <c r="BG30" s="106"/>
      <c r="BI30" s="37"/>
      <c r="BJ30" s="37"/>
      <c r="BK30" s="37"/>
    </row>
    <row r="31" spans="2:63" ht="60" customHeight="1">
      <c r="B31" s="141"/>
      <c r="C31" s="113" t="s">
        <v>55</v>
      </c>
      <c r="D31" s="114"/>
      <c r="E31" s="114"/>
      <c r="F31" s="114"/>
      <c r="G31" s="115"/>
      <c r="H31" s="110" t="s">
        <v>56</v>
      </c>
      <c r="I31" s="111"/>
      <c r="J31" s="111"/>
      <c r="K31" s="111"/>
      <c r="L31" s="111"/>
      <c r="M31" s="111"/>
      <c r="N31" s="111"/>
      <c r="O31" s="111"/>
      <c r="P31" s="112"/>
      <c r="Q31" s="121">
        <v>8</v>
      </c>
      <c r="R31" s="122"/>
      <c r="S31" s="123"/>
      <c r="T31" s="134" t="s">
        <v>57</v>
      </c>
      <c r="U31" s="134"/>
      <c r="V31" s="134"/>
      <c r="W31" s="134"/>
      <c r="X31" s="134"/>
      <c r="Y31" s="134"/>
      <c r="Z31" s="116" t="s">
        <v>58</v>
      </c>
      <c r="AA31" s="117"/>
      <c r="AB31" s="117"/>
      <c r="AC31" s="117"/>
      <c r="AD31" s="117"/>
      <c r="AE31" s="118"/>
      <c r="AF31" s="116" t="s">
        <v>59</v>
      </c>
      <c r="AG31" s="117"/>
      <c r="AH31" s="117"/>
      <c r="AI31" s="117"/>
      <c r="AJ31" s="117"/>
      <c r="AK31" s="118"/>
      <c r="AL31" s="116" t="s">
        <v>60</v>
      </c>
      <c r="AM31" s="117"/>
      <c r="AN31" s="117"/>
      <c r="AO31" s="117"/>
      <c r="AP31" s="117"/>
      <c r="AQ31" s="118"/>
      <c r="AR31" s="116" t="s">
        <v>61</v>
      </c>
      <c r="AS31" s="117"/>
      <c r="AT31" s="117"/>
      <c r="AU31" s="117"/>
      <c r="AV31" s="117"/>
      <c r="AW31" s="118"/>
      <c r="AX31" s="124">
        <v>2</v>
      </c>
      <c r="AY31" s="124"/>
      <c r="AZ31" s="103"/>
      <c r="BA31" s="104"/>
      <c r="BB31" s="105"/>
      <c r="BC31" s="105"/>
      <c r="BF31" s="106"/>
      <c r="BG31" s="106"/>
      <c r="BI31" s="37"/>
      <c r="BJ31" s="37"/>
      <c r="BK31" s="37"/>
    </row>
    <row r="32" spans="2:63" ht="37.5" customHeight="1">
      <c r="B32" s="141"/>
      <c r="C32" s="135" t="s">
        <v>62</v>
      </c>
      <c r="D32" s="114"/>
      <c r="E32" s="114"/>
      <c r="F32" s="114"/>
      <c r="G32" s="115"/>
      <c r="H32" s="110" t="s">
        <v>63</v>
      </c>
      <c r="I32" s="111"/>
      <c r="J32" s="111"/>
      <c r="K32" s="111"/>
      <c r="L32" s="111"/>
      <c r="M32" s="111"/>
      <c r="N32" s="111"/>
      <c r="O32" s="111"/>
      <c r="P32" s="112"/>
      <c r="Q32" s="121">
        <v>8</v>
      </c>
      <c r="R32" s="122"/>
      <c r="S32" s="123"/>
      <c r="T32" s="110" t="s">
        <v>64</v>
      </c>
      <c r="U32" s="111"/>
      <c r="V32" s="111"/>
      <c r="W32" s="111"/>
      <c r="X32" s="111"/>
      <c r="Y32" s="112"/>
      <c r="Z32" s="116" t="s">
        <v>65</v>
      </c>
      <c r="AA32" s="117"/>
      <c r="AB32" s="117"/>
      <c r="AC32" s="117"/>
      <c r="AD32" s="117"/>
      <c r="AE32" s="118"/>
      <c r="AF32" s="110" t="s">
        <v>66</v>
      </c>
      <c r="AG32" s="111"/>
      <c r="AH32" s="111"/>
      <c r="AI32" s="111"/>
      <c r="AJ32" s="111"/>
      <c r="AK32" s="112"/>
      <c r="AL32" s="110" t="s">
        <v>67</v>
      </c>
      <c r="AM32" s="111"/>
      <c r="AN32" s="111"/>
      <c r="AO32" s="111"/>
      <c r="AP32" s="111"/>
      <c r="AQ32" s="112"/>
      <c r="AR32" s="116" t="s">
        <v>68</v>
      </c>
      <c r="AS32" s="117"/>
      <c r="AT32" s="117"/>
      <c r="AU32" s="117"/>
      <c r="AV32" s="117"/>
      <c r="AW32" s="118"/>
      <c r="AX32" s="124">
        <v>6</v>
      </c>
      <c r="AY32" s="124"/>
      <c r="AZ32" s="103"/>
      <c r="BA32" s="104"/>
      <c r="BB32" s="105"/>
      <c r="BC32" s="105"/>
      <c r="BF32" s="106"/>
      <c r="BG32" s="106"/>
      <c r="BI32" s="37"/>
      <c r="BJ32" s="37"/>
      <c r="BK32" s="37"/>
    </row>
    <row r="33" spans="2:63" ht="48.75" customHeight="1">
      <c r="B33" s="141"/>
      <c r="C33" s="113" t="s">
        <v>69</v>
      </c>
      <c r="D33" s="114"/>
      <c r="E33" s="114"/>
      <c r="F33" s="114"/>
      <c r="G33" s="115"/>
      <c r="H33" s="110" t="s">
        <v>70</v>
      </c>
      <c r="I33" s="111"/>
      <c r="J33" s="111"/>
      <c r="K33" s="111"/>
      <c r="L33" s="111"/>
      <c r="M33" s="111"/>
      <c r="N33" s="111"/>
      <c r="O33" s="111"/>
      <c r="P33" s="112"/>
      <c r="Q33" s="113">
        <v>8</v>
      </c>
      <c r="R33" s="114"/>
      <c r="S33" s="115"/>
      <c r="T33" s="116" t="s">
        <v>71</v>
      </c>
      <c r="U33" s="117"/>
      <c r="V33" s="117"/>
      <c r="W33" s="117"/>
      <c r="X33" s="117"/>
      <c r="Y33" s="118"/>
      <c r="Z33" s="116" t="s">
        <v>72</v>
      </c>
      <c r="AA33" s="117"/>
      <c r="AB33" s="117"/>
      <c r="AC33" s="117"/>
      <c r="AD33" s="117"/>
      <c r="AE33" s="118"/>
      <c r="AF33" s="116" t="s">
        <v>73</v>
      </c>
      <c r="AG33" s="117"/>
      <c r="AH33" s="117"/>
      <c r="AI33" s="117"/>
      <c r="AJ33" s="117"/>
      <c r="AK33" s="118"/>
      <c r="AL33" s="116" t="s">
        <v>74</v>
      </c>
      <c r="AM33" s="117"/>
      <c r="AN33" s="117"/>
      <c r="AO33" s="117"/>
      <c r="AP33" s="117"/>
      <c r="AQ33" s="118"/>
      <c r="AR33" s="116" t="s">
        <v>75</v>
      </c>
      <c r="AS33" s="117"/>
      <c r="AT33" s="117"/>
      <c r="AU33" s="117"/>
      <c r="AV33" s="117"/>
      <c r="AW33" s="118"/>
      <c r="AX33" s="124">
        <v>4</v>
      </c>
      <c r="AY33" s="124"/>
      <c r="AZ33" s="103"/>
      <c r="BA33" s="104"/>
      <c r="BB33" s="105"/>
      <c r="BC33" s="105"/>
      <c r="BF33" s="106"/>
      <c r="BG33" s="106"/>
      <c r="BI33" s="37"/>
      <c r="BJ33" s="37"/>
      <c r="BK33" s="37"/>
    </row>
    <row r="34" spans="2:63" ht="48" customHeight="1">
      <c r="B34" s="141"/>
      <c r="C34" s="136" t="s">
        <v>76</v>
      </c>
      <c r="D34" s="124"/>
      <c r="E34" s="124"/>
      <c r="F34" s="124"/>
      <c r="G34" s="124"/>
      <c r="H34" s="110" t="s">
        <v>77</v>
      </c>
      <c r="I34" s="111"/>
      <c r="J34" s="111"/>
      <c r="K34" s="111"/>
      <c r="L34" s="111"/>
      <c r="M34" s="111"/>
      <c r="N34" s="111"/>
      <c r="O34" s="111"/>
      <c r="P34" s="112"/>
      <c r="Q34" s="137">
        <v>8</v>
      </c>
      <c r="R34" s="108"/>
      <c r="S34" s="109"/>
      <c r="T34" s="134" t="s">
        <v>78</v>
      </c>
      <c r="U34" s="134"/>
      <c r="V34" s="134"/>
      <c r="W34" s="134"/>
      <c r="X34" s="134"/>
      <c r="Y34" s="134"/>
      <c r="Z34" s="134" t="s">
        <v>79</v>
      </c>
      <c r="AA34" s="134"/>
      <c r="AB34" s="134"/>
      <c r="AC34" s="134"/>
      <c r="AD34" s="134"/>
      <c r="AE34" s="134"/>
      <c r="AF34" s="134" t="s">
        <v>168</v>
      </c>
      <c r="AG34" s="134"/>
      <c r="AH34" s="134"/>
      <c r="AI34" s="134"/>
      <c r="AJ34" s="134"/>
      <c r="AK34" s="134"/>
      <c r="AL34" s="134" t="s">
        <v>80</v>
      </c>
      <c r="AM34" s="134"/>
      <c r="AN34" s="134"/>
      <c r="AO34" s="134"/>
      <c r="AP34" s="134"/>
      <c r="AQ34" s="134"/>
      <c r="AR34" s="134" t="s">
        <v>81</v>
      </c>
      <c r="AS34" s="134"/>
      <c r="AT34" s="134"/>
      <c r="AU34" s="134"/>
      <c r="AV34" s="134"/>
      <c r="AW34" s="134"/>
      <c r="AX34" s="124">
        <v>4</v>
      </c>
      <c r="AY34" s="124"/>
      <c r="AZ34" s="103"/>
      <c r="BA34" s="104"/>
      <c r="BB34" s="105"/>
      <c r="BC34" s="105"/>
      <c r="BF34" s="106"/>
      <c r="BG34" s="106"/>
      <c r="BI34" s="37"/>
      <c r="BJ34" s="37"/>
      <c r="BK34" s="37"/>
    </row>
    <row r="35" spans="2:63" ht="48" customHeight="1">
      <c r="B35" s="141"/>
      <c r="C35" s="136" t="s">
        <v>82</v>
      </c>
      <c r="D35" s="124"/>
      <c r="E35" s="124"/>
      <c r="F35" s="124"/>
      <c r="G35" s="124"/>
      <c r="H35" s="110" t="s">
        <v>83</v>
      </c>
      <c r="I35" s="111"/>
      <c r="J35" s="111"/>
      <c r="K35" s="111"/>
      <c r="L35" s="111"/>
      <c r="M35" s="111"/>
      <c r="N35" s="111"/>
      <c r="O35" s="111"/>
      <c r="P35" s="112"/>
      <c r="Q35" s="113">
        <v>4</v>
      </c>
      <c r="R35" s="114"/>
      <c r="S35" s="115"/>
      <c r="T35" s="134" t="s">
        <v>84</v>
      </c>
      <c r="U35" s="134"/>
      <c r="V35" s="134"/>
      <c r="W35" s="134"/>
      <c r="X35" s="134"/>
      <c r="Y35" s="134"/>
      <c r="Z35" s="134" t="s">
        <v>85</v>
      </c>
      <c r="AA35" s="134"/>
      <c r="AB35" s="134"/>
      <c r="AC35" s="134"/>
      <c r="AD35" s="134"/>
      <c r="AE35" s="134"/>
      <c r="AF35" s="134" t="s">
        <v>86</v>
      </c>
      <c r="AG35" s="134"/>
      <c r="AH35" s="134"/>
      <c r="AI35" s="134"/>
      <c r="AJ35" s="134"/>
      <c r="AK35" s="134"/>
      <c r="AL35" s="134" t="s">
        <v>87</v>
      </c>
      <c r="AM35" s="134"/>
      <c r="AN35" s="134"/>
      <c r="AO35" s="134"/>
      <c r="AP35" s="134"/>
      <c r="AQ35" s="134"/>
      <c r="AR35" s="134" t="s">
        <v>88</v>
      </c>
      <c r="AS35" s="134"/>
      <c r="AT35" s="134"/>
      <c r="AU35" s="134"/>
      <c r="AV35" s="134"/>
      <c r="AW35" s="134"/>
      <c r="AX35" s="103">
        <v>3</v>
      </c>
      <c r="AY35" s="104"/>
      <c r="AZ35" s="103"/>
      <c r="BA35" s="104"/>
      <c r="BB35" s="105"/>
      <c r="BC35" s="105"/>
      <c r="BF35" s="106"/>
      <c r="BG35" s="106"/>
      <c r="BI35" s="37"/>
      <c r="BJ35" s="37"/>
      <c r="BK35" s="37"/>
    </row>
    <row r="36" spans="2:63" ht="68.25" customHeight="1">
      <c r="B36" s="141"/>
      <c r="C36" s="135" t="s">
        <v>89</v>
      </c>
      <c r="D36" s="114"/>
      <c r="E36" s="114"/>
      <c r="F36" s="114"/>
      <c r="G36" s="115"/>
      <c r="H36" s="110" t="s">
        <v>90</v>
      </c>
      <c r="I36" s="111"/>
      <c r="J36" s="111"/>
      <c r="K36" s="111"/>
      <c r="L36" s="111"/>
      <c r="M36" s="111"/>
      <c r="N36" s="111"/>
      <c r="O36" s="111"/>
      <c r="P36" s="112"/>
      <c r="Q36" s="113">
        <v>4</v>
      </c>
      <c r="R36" s="114"/>
      <c r="S36" s="115"/>
      <c r="T36" s="116" t="s">
        <v>91</v>
      </c>
      <c r="U36" s="117"/>
      <c r="V36" s="117"/>
      <c r="W36" s="117"/>
      <c r="X36" s="117"/>
      <c r="Y36" s="118"/>
      <c r="Z36" s="116" t="s">
        <v>92</v>
      </c>
      <c r="AA36" s="117"/>
      <c r="AB36" s="117"/>
      <c r="AC36" s="117"/>
      <c r="AD36" s="117"/>
      <c r="AE36" s="118"/>
      <c r="AF36" s="116" t="s">
        <v>93</v>
      </c>
      <c r="AG36" s="117"/>
      <c r="AH36" s="117"/>
      <c r="AI36" s="117"/>
      <c r="AJ36" s="117"/>
      <c r="AK36" s="118"/>
      <c r="AL36" s="116" t="s">
        <v>172</v>
      </c>
      <c r="AM36" s="117"/>
      <c r="AN36" s="117"/>
      <c r="AO36" s="117"/>
      <c r="AP36" s="117"/>
      <c r="AQ36" s="118"/>
      <c r="AR36" s="116" t="s">
        <v>94</v>
      </c>
      <c r="AS36" s="117"/>
      <c r="AT36" s="117"/>
      <c r="AU36" s="117"/>
      <c r="AV36" s="117"/>
      <c r="AW36" s="118"/>
      <c r="AX36" s="124">
        <v>2</v>
      </c>
      <c r="AY36" s="124"/>
      <c r="AZ36" s="103"/>
      <c r="BA36" s="104"/>
      <c r="BB36" s="105"/>
      <c r="BC36" s="105"/>
      <c r="BF36" s="106"/>
      <c r="BG36" s="106"/>
      <c r="BI36" s="37"/>
      <c r="BJ36" s="37"/>
      <c r="BK36" s="37"/>
    </row>
    <row r="37" spans="2:63" ht="50.25" customHeight="1">
      <c r="B37" s="141"/>
      <c r="C37" s="135" t="s">
        <v>95</v>
      </c>
      <c r="D37" s="114"/>
      <c r="E37" s="114"/>
      <c r="F37" s="114"/>
      <c r="G37" s="115"/>
      <c r="H37" s="110" t="s">
        <v>96</v>
      </c>
      <c r="I37" s="111"/>
      <c r="J37" s="111"/>
      <c r="K37" s="111"/>
      <c r="L37" s="111"/>
      <c r="M37" s="111"/>
      <c r="N37" s="111"/>
      <c r="O37" s="111"/>
      <c r="P37" s="112"/>
      <c r="Q37" s="113">
        <v>4</v>
      </c>
      <c r="R37" s="114"/>
      <c r="S37" s="115"/>
      <c r="T37" s="116" t="s">
        <v>97</v>
      </c>
      <c r="U37" s="117"/>
      <c r="V37" s="117"/>
      <c r="W37" s="117"/>
      <c r="X37" s="117"/>
      <c r="Y37" s="118"/>
      <c r="Z37" s="116" t="s">
        <v>98</v>
      </c>
      <c r="AA37" s="117"/>
      <c r="AB37" s="117"/>
      <c r="AC37" s="117"/>
      <c r="AD37" s="117"/>
      <c r="AE37" s="118"/>
      <c r="AF37" s="116" t="s">
        <v>99</v>
      </c>
      <c r="AG37" s="117"/>
      <c r="AH37" s="117"/>
      <c r="AI37" s="117"/>
      <c r="AJ37" s="117"/>
      <c r="AK37" s="118"/>
      <c r="AL37" s="116" t="s">
        <v>100</v>
      </c>
      <c r="AM37" s="117"/>
      <c r="AN37" s="117"/>
      <c r="AO37" s="117"/>
      <c r="AP37" s="117"/>
      <c r="AQ37" s="118"/>
      <c r="AR37" s="116" t="s">
        <v>101</v>
      </c>
      <c r="AS37" s="117"/>
      <c r="AT37" s="117"/>
      <c r="AU37" s="117"/>
      <c r="AV37" s="117"/>
      <c r="AW37" s="118"/>
      <c r="AX37" s="124">
        <v>4</v>
      </c>
      <c r="AY37" s="124"/>
      <c r="AZ37" s="103"/>
      <c r="BA37" s="104"/>
      <c r="BB37" s="105"/>
      <c r="BC37" s="105"/>
      <c r="BF37" s="38"/>
      <c r="BG37" s="38"/>
      <c r="BI37" s="37"/>
      <c r="BJ37" s="37"/>
      <c r="BK37" s="37"/>
    </row>
    <row r="38" spans="2:63" ht="57.75" customHeight="1">
      <c r="B38" s="141"/>
      <c r="C38" s="135" t="s">
        <v>102</v>
      </c>
      <c r="D38" s="114"/>
      <c r="E38" s="114"/>
      <c r="F38" s="114"/>
      <c r="G38" s="115"/>
      <c r="H38" s="110" t="s">
        <v>103</v>
      </c>
      <c r="I38" s="111"/>
      <c r="J38" s="111"/>
      <c r="K38" s="111"/>
      <c r="L38" s="111"/>
      <c r="M38" s="111"/>
      <c r="N38" s="111"/>
      <c r="O38" s="111"/>
      <c r="P38" s="112"/>
      <c r="Q38" s="121">
        <v>8</v>
      </c>
      <c r="R38" s="122"/>
      <c r="S38" s="123"/>
      <c r="T38" s="116" t="s">
        <v>104</v>
      </c>
      <c r="U38" s="117"/>
      <c r="V38" s="117"/>
      <c r="W38" s="117"/>
      <c r="X38" s="117"/>
      <c r="Y38" s="118"/>
      <c r="Z38" s="116" t="s">
        <v>105</v>
      </c>
      <c r="AA38" s="117"/>
      <c r="AB38" s="117"/>
      <c r="AC38" s="117"/>
      <c r="AD38" s="117"/>
      <c r="AE38" s="118"/>
      <c r="AF38" s="116" t="s">
        <v>106</v>
      </c>
      <c r="AG38" s="117"/>
      <c r="AH38" s="117"/>
      <c r="AI38" s="117"/>
      <c r="AJ38" s="117"/>
      <c r="AK38" s="118"/>
      <c r="AL38" s="116" t="s">
        <v>107</v>
      </c>
      <c r="AM38" s="117"/>
      <c r="AN38" s="117"/>
      <c r="AO38" s="117"/>
      <c r="AP38" s="117"/>
      <c r="AQ38" s="118"/>
      <c r="AR38" s="116" t="s">
        <v>108</v>
      </c>
      <c r="AS38" s="117"/>
      <c r="AT38" s="117"/>
      <c r="AU38" s="117"/>
      <c r="AV38" s="117"/>
      <c r="AW38" s="118"/>
      <c r="AX38" s="124">
        <v>4</v>
      </c>
      <c r="AY38" s="124"/>
      <c r="AZ38" s="103"/>
      <c r="BA38" s="104"/>
      <c r="BB38" s="105"/>
      <c r="BC38" s="105"/>
      <c r="BF38" s="38"/>
      <c r="BG38" s="38"/>
      <c r="BI38" s="37"/>
      <c r="BJ38" s="37"/>
      <c r="BK38" s="37"/>
    </row>
    <row r="39" spans="2:63" ht="57.75" customHeight="1">
      <c r="B39" s="141"/>
      <c r="C39" s="135" t="s">
        <v>109</v>
      </c>
      <c r="D39" s="114"/>
      <c r="E39" s="114"/>
      <c r="F39" s="114"/>
      <c r="G39" s="115"/>
      <c r="H39" s="110" t="s">
        <v>110</v>
      </c>
      <c r="I39" s="111"/>
      <c r="J39" s="111"/>
      <c r="K39" s="111"/>
      <c r="L39" s="111"/>
      <c r="M39" s="111"/>
      <c r="N39" s="111"/>
      <c r="O39" s="111"/>
      <c r="P39" s="112">
        <v>4</v>
      </c>
      <c r="Q39" s="121">
        <v>4</v>
      </c>
      <c r="R39" s="122"/>
      <c r="S39" s="123"/>
      <c r="T39" s="134" t="s">
        <v>111</v>
      </c>
      <c r="U39" s="134"/>
      <c r="V39" s="134"/>
      <c r="W39" s="134"/>
      <c r="X39" s="134"/>
      <c r="Y39" s="134"/>
      <c r="Z39" s="134" t="s">
        <v>112</v>
      </c>
      <c r="AA39" s="134"/>
      <c r="AB39" s="134"/>
      <c r="AC39" s="134"/>
      <c r="AD39" s="134"/>
      <c r="AE39" s="134"/>
      <c r="AF39" s="134" t="s">
        <v>113</v>
      </c>
      <c r="AG39" s="134"/>
      <c r="AH39" s="134"/>
      <c r="AI39" s="134"/>
      <c r="AJ39" s="134"/>
      <c r="AK39" s="134"/>
      <c r="AL39" s="134" t="s">
        <v>114</v>
      </c>
      <c r="AM39" s="134"/>
      <c r="AN39" s="134"/>
      <c r="AO39" s="134"/>
      <c r="AP39" s="134"/>
      <c r="AQ39" s="134"/>
      <c r="AR39" s="110" t="s">
        <v>169</v>
      </c>
      <c r="AS39" s="111"/>
      <c r="AT39" s="111"/>
      <c r="AU39" s="111"/>
      <c r="AV39" s="111"/>
      <c r="AW39" s="112"/>
      <c r="AX39" s="103">
        <v>3</v>
      </c>
      <c r="AY39" s="104"/>
      <c r="AZ39" s="103"/>
      <c r="BA39" s="104"/>
      <c r="BB39" s="105"/>
      <c r="BC39" s="105"/>
      <c r="BF39" s="38"/>
      <c r="BG39" s="38"/>
      <c r="BI39" s="37"/>
      <c r="BJ39" s="37"/>
      <c r="BK39" s="37"/>
    </row>
    <row r="40" spans="2:63" ht="57.75" customHeight="1">
      <c r="B40" s="141"/>
      <c r="C40" s="135" t="s">
        <v>115</v>
      </c>
      <c r="D40" s="114"/>
      <c r="E40" s="114"/>
      <c r="F40" s="114"/>
      <c r="G40" s="115"/>
      <c r="H40" s="110" t="s">
        <v>116</v>
      </c>
      <c r="I40" s="111"/>
      <c r="J40" s="111"/>
      <c r="K40" s="111"/>
      <c r="L40" s="111"/>
      <c r="M40" s="111"/>
      <c r="N40" s="111"/>
      <c r="O40" s="111"/>
      <c r="P40" s="112">
        <v>4</v>
      </c>
      <c r="Q40" s="121">
        <v>4</v>
      </c>
      <c r="R40" s="122"/>
      <c r="S40" s="123"/>
      <c r="T40" s="134" t="s">
        <v>117</v>
      </c>
      <c r="U40" s="134"/>
      <c r="V40" s="134"/>
      <c r="W40" s="134"/>
      <c r="X40" s="134"/>
      <c r="Y40" s="134"/>
      <c r="Z40" s="134" t="s">
        <v>118</v>
      </c>
      <c r="AA40" s="134"/>
      <c r="AB40" s="134"/>
      <c r="AC40" s="134"/>
      <c r="AD40" s="134"/>
      <c r="AE40" s="134"/>
      <c r="AF40" s="134" t="s">
        <v>119</v>
      </c>
      <c r="AG40" s="134"/>
      <c r="AH40" s="134"/>
      <c r="AI40" s="134"/>
      <c r="AJ40" s="134"/>
      <c r="AK40" s="134"/>
      <c r="AL40" s="134" t="s">
        <v>120</v>
      </c>
      <c r="AM40" s="134"/>
      <c r="AN40" s="134"/>
      <c r="AO40" s="134"/>
      <c r="AP40" s="134"/>
      <c r="AQ40" s="134"/>
      <c r="AR40" s="134" t="s">
        <v>121</v>
      </c>
      <c r="AS40" s="134"/>
      <c r="AT40" s="134"/>
      <c r="AU40" s="134"/>
      <c r="AV40" s="134"/>
      <c r="AW40" s="134"/>
      <c r="AX40" s="103">
        <v>3</v>
      </c>
      <c r="AY40" s="104"/>
      <c r="AZ40" s="103"/>
      <c r="BA40" s="104"/>
      <c r="BB40" s="105"/>
      <c r="BC40" s="105"/>
      <c r="BF40" s="38"/>
      <c r="BG40" s="38"/>
      <c r="BI40" s="37"/>
      <c r="BJ40" s="37"/>
      <c r="BK40" s="37"/>
    </row>
    <row r="41" spans="2:63" ht="57.75" customHeight="1">
      <c r="B41" s="141"/>
      <c r="C41" s="135" t="s">
        <v>122</v>
      </c>
      <c r="D41" s="114"/>
      <c r="E41" s="114"/>
      <c r="F41" s="114"/>
      <c r="G41" s="115"/>
      <c r="H41" s="110" t="s">
        <v>123</v>
      </c>
      <c r="I41" s="111"/>
      <c r="J41" s="111"/>
      <c r="K41" s="111"/>
      <c r="L41" s="111"/>
      <c r="M41" s="111"/>
      <c r="N41" s="111"/>
      <c r="O41" s="111"/>
      <c r="P41" s="112">
        <v>8</v>
      </c>
      <c r="Q41" s="121">
        <v>4</v>
      </c>
      <c r="R41" s="122"/>
      <c r="S41" s="123"/>
      <c r="T41" s="116" t="s">
        <v>124</v>
      </c>
      <c r="U41" s="117"/>
      <c r="V41" s="117"/>
      <c r="W41" s="117"/>
      <c r="X41" s="117"/>
      <c r="Y41" s="118"/>
      <c r="Z41" s="116" t="s">
        <v>125</v>
      </c>
      <c r="AA41" s="117"/>
      <c r="AB41" s="117"/>
      <c r="AC41" s="117"/>
      <c r="AD41" s="117"/>
      <c r="AE41" s="118"/>
      <c r="AF41" s="116" t="s">
        <v>175</v>
      </c>
      <c r="AG41" s="117"/>
      <c r="AH41" s="117"/>
      <c r="AI41" s="117"/>
      <c r="AJ41" s="117"/>
      <c r="AK41" s="118"/>
      <c r="AL41" s="116" t="s">
        <v>174</v>
      </c>
      <c r="AM41" s="117"/>
      <c r="AN41" s="117"/>
      <c r="AO41" s="117"/>
      <c r="AP41" s="117"/>
      <c r="AQ41" s="118"/>
      <c r="AR41" s="116" t="s">
        <v>126</v>
      </c>
      <c r="AS41" s="117"/>
      <c r="AT41" s="117"/>
      <c r="AU41" s="117"/>
      <c r="AV41" s="117"/>
      <c r="AW41" s="118"/>
      <c r="AX41" s="124">
        <v>3</v>
      </c>
      <c r="AY41" s="124"/>
      <c r="AZ41" s="103"/>
      <c r="BA41" s="104"/>
      <c r="BB41" s="105"/>
      <c r="BC41" s="105"/>
      <c r="BF41" s="38"/>
      <c r="BG41" s="38"/>
      <c r="BI41" s="37"/>
      <c r="BJ41" s="37"/>
      <c r="BK41" s="37"/>
    </row>
    <row r="42" spans="2:63" ht="36" customHeight="1">
      <c r="B42" s="141"/>
      <c r="C42" s="107" t="s">
        <v>127</v>
      </c>
      <c r="D42" s="119"/>
      <c r="E42" s="119"/>
      <c r="F42" s="119"/>
      <c r="G42" s="120"/>
      <c r="H42" s="110" t="s">
        <v>128</v>
      </c>
      <c r="I42" s="111"/>
      <c r="J42" s="111"/>
      <c r="K42" s="111"/>
      <c r="L42" s="111"/>
      <c r="M42" s="111"/>
      <c r="N42" s="111"/>
      <c r="O42" s="111"/>
      <c r="P42" s="112"/>
      <c r="Q42" s="137">
        <v>4</v>
      </c>
      <c r="R42" s="108"/>
      <c r="S42" s="109"/>
      <c r="T42" s="110" t="s">
        <v>129</v>
      </c>
      <c r="U42" s="111"/>
      <c r="V42" s="111"/>
      <c r="W42" s="111"/>
      <c r="X42" s="111"/>
      <c r="Y42" s="112"/>
      <c r="Z42" s="110" t="s">
        <v>130</v>
      </c>
      <c r="AA42" s="111"/>
      <c r="AB42" s="111"/>
      <c r="AC42" s="111"/>
      <c r="AD42" s="111"/>
      <c r="AE42" s="112"/>
      <c r="AF42" s="110" t="s">
        <v>131</v>
      </c>
      <c r="AG42" s="111"/>
      <c r="AH42" s="111"/>
      <c r="AI42" s="111"/>
      <c r="AJ42" s="111"/>
      <c r="AK42" s="112"/>
      <c r="AL42" s="110" t="s">
        <v>132</v>
      </c>
      <c r="AM42" s="111"/>
      <c r="AN42" s="111"/>
      <c r="AO42" s="111"/>
      <c r="AP42" s="111"/>
      <c r="AQ42" s="112"/>
      <c r="AR42" s="110" t="s">
        <v>133</v>
      </c>
      <c r="AS42" s="111"/>
      <c r="AT42" s="111"/>
      <c r="AU42" s="111"/>
      <c r="AV42" s="111"/>
      <c r="AW42" s="112"/>
      <c r="AX42" s="124">
        <v>3</v>
      </c>
      <c r="AY42" s="124"/>
      <c r="AZ42" s="103"/>
      <c r="BA42" s="104"/>
      <c r="BB42" s="125"/>
      <c r="BC42" s="126"/>
      <c r="BF42" s="38"/>
      <c r="BG42" s="38"/>
      <c r="BI42" s="37"/>
      <c r="BJ42" s="37"/>
      <c r="BK42" s="37"/>
    </row>
    <row r="43" spans="2:63" ht="57.75" customHeight="1">
      <c r="B43" s="141"/>
      <c r="C43" s="135" t="s">
        <v>134</v>
      </c>
      <c r="D43" s="114"/>
      <c r="E43" s="114"/>
      <c r="F43" s="114"/>
      <c r="G43" s="115"/>
      <c r="H43" s="110" t="s">
        <v>135</v>
      </c>
      <c r="I43" s="111"/>
      <c r="J43" s="111"/>
      <c r="K43" s="111"/>
      <c r="L43" s="111"/>
      <c r="M43" s="111"/>
      <c r="N43" s="111"/>
      <c r="O43" s="111"/>
      <c r="P43" s="112">
        <v>8</v>
      </c>
      <c r="Q43" s="121">
        <v>4</v>
      </c>
      <c r="R43" s="122"/>
      <c r="S43" s="123"/>
      <c r="T43" s="110" t="s">
        <v>136</v>
      </c>
      <c r="U43" s="111"/>
      <c r="V43" s="111"/>
      <c r="W43" s="111"/>
      <c r="X43" s="111"/>
      <c r="Y43" s="112"/>
      <c r="Z43" s="134" t="s">
        <v>137</v>
      </c>
      <c r="AA43" s="134"/>
      <c r="AB43" s="134"/>
      <c r="AC43" s="134"/>
      <c r="AD43" s="134"/>
      <c r="AE43" s="134"/>
      <c r="AF43" s="110" t="s">
        <v>138</v>
      </c>
      <c r="AG43" s="111"/>
      <c r="AH43" s="111"/>
      <c r="AI43" s="111"/>
      <c r="AJ43" s="111"/>
      <c r="AK43" s="112"/>
      <c r="AL43" s="110" t="s">
        <v>139</v>
      </c>
      <c r="AM43" s="111"/>
      <c r="AN43" s="111"/>
      <c r="AO43" s="111"/>
      <c r="AP43" s="111"/>
      <c r="AQ43" s="112"/>
      <c r="AR43" s="134" t="s">
        <v>170</v>
      </c>
      <c r="AS43" s="134"/>
      <c r="AT43" s="134"/>
      <c r="AU43" s="134"/>
      <c r="AV43" s="134"/>
      <c r="AW43" s="134"/>
      <c r="AX43" s="124">
        <v>3</v>
      </c>
      <c r="AY43" s="124"/>
      <c r="AZ43" s="103"/>
      <c r="BA43" s="104"/>
      <c r="BB43" s="105"/>
      <c r="BC43" s="105"/>
      <c r="BF43" s="38"/>
      <c r="BG43" s="38"/>
      <c r="BI43" s="37"/>
      <c r="BJ43" s="37"/>
      <c r="BK43" s="37"/>
    </row>
    <row r="44" spans="2:63" ht="36" customHeight="1">
      <c r="B44" s="142"/>
      <c r="C44" s="135" t="s">
        <v>140</v>
      </c>
      <c r="D44" s="114"/>
      <c r="E44" s="114"/>
      <c r="F44" s="114"/>
      <c r="G44" s="115"/>
      <c r="H44" s="110" t="s">
        <v>141</v>
      </c>
      <c r="I44" s="111"/>
      <c r="J44" s="111"/>
      <c r="K44" s="111"/>
      <c r="L44" s="111"/>
      <c r="M44" s="111"/>
      <c r="N44" s="111"/>
      <c r="O44" s="111"/>
      <c r="P44" s="112">
        <v>4</v>
      </c>
      <c r="Q44" s="121">
        <v>4</v>
      </c>
      <c r="R44" s="122"/>
      <c r="S44" s="123"/>
      <c r="T44" s="134" t="s">
        <v>142</v>
      </c>
      <c r="U44" s="134"/>
      <c r="V44" s="134"/>
      <c r="W44" s="134"/>
      <c r="X44" s="134"/>
      <c r="Y44" s="134"/>
      <c r="Z44" s="134" t="s">
        <v>143</v>
      </c>
      <c r="AA44" s="134"/>
      <c r="AB44" s="134"/>
      <c r="AC44" s="134"/>
      <c r="AD44" s="134"/>
      <c r="AE44" s="134"/>
      <c r="AF44" s="134" t="s">
        <v>144</v>
      </c>
      <c r="AG44" s="134"/>
      <c r="AH44" s="134"/>
      <c r="AI44" s="134"/>
      <c r="AJ44" s="134"/>
      <c r="AK44" s="134"/>
      <c r="AL44" s="134" t="s">
        <v>145</v>
      </c>
      <c r="AM44" s="134"/>
      <c r="AN44" s="134"/>
      <c r="AO44" s="134"/>
      <c r="AP44" s="134"/>
      <c r="AQ44" s="134"/>
      <c r="AR44" s="134" t="s">
        <v>146</v>
      </c>
      <c r="AS44" s="134"/>
      <c r="AT44" s="134"/>
      <c r="AU44" s="134"/>
      <c r="AV44" s="134"/>
      <c r="AW44" s="134"/>
      <c r="AX44" s="124">
        <v>4</v>
      </c>
      <c r="AY44" s="124"/>
      <c r="AZ44" s="103"/>
      <c r="BA44" s="104"/>
      <c r="BB44" s="105"/>
      <c r="BC44" s="105"/>
      <c r="BF44" s="106"/>
      <c r="BG44" s="106"/>
      <c r="BI44" s="37"/>
      <c r="BJ44" s="37"/>
      <c r="BK44" s="37"/>
    </row>
    <row r="45" spans="2:63" ht="14.45" customHeight="1">
      <c r="B45" s="138" t="s">
        <v>19</v>
      </c>
      <c r="C45" s="86"/>
      <c r="D45" s="86"/>
      <c r="E45" s="86"/>
      <c r="F45" s="86"/>
      <c r="G45" s="86"/>
      <c r="H45" s="86"/>
      <c r="I45" s="86"/>
      <c r="J45" s="86"/>
      <c r="K45" s="86"/>
      <c r="L45" s="86"/>
      <c r="M45" s="86"/>
      <c r="N45" s="86"/>
      <c r="O45" s="86"/>
      <c r="P45" s="87"/>
      <c r="Q45" s="137">
        <f>SUM(Q28:S44)</f>
        <v>100</v>
      </c>
      <c r="R45" s="108"/>
      <c r="S45" s="109"/>
      <c r="T45" s="110"/>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2"/>
      <c r="AX45" s="139">
        <f>IF(SUM(AX28:AY44)=0,"",SUM(AX28:AY44))</f>
        <v>48</v>
      </c>
      <c r="AY45" s="90"/>
      <c r="AZ45" s="139" t="str">
        <f>IF(SUM(AZ28:BA44)=0,"",SUM(AZ28:BA44))</f>
        <v/>
      </c>
      <c r="BA45" s="90"/>
      <c r="BB45" s="139" t="str">
        <f>IF(SUM(BB28:BC44)=0,"",SUM(BB28:BC44))</f>
        <v/>
      </c>
      <c r="BC45" s="90"/>
      <c r="BF45" s="106">
        <f>SUM(BF28:BF44)</f>
        <v>0</v>
      </c>
      <c r="BG45" s="106">
        <f>SUM(BG28:BG44)</f>
        <v>0</v>
      </c>
      <c r="BI45" s="37">
        <f>SUM(BI28:BI44)</f>
        <v>0</v>
      </c>
      <c r="BJ45" s="37">
        <f>SUM(BJ28:BJ44)</f>
        <v>0</v>
      </c>
      <c r="BK45" s="37">
        <f>SUM(BK28:BK44)</f>
        <v>0</v>
      </c>
    </row>
    <row r="46" spans="2:63" ht="6" customHeight="1">
      <c r="B46" s="19"/>
    </row>
    <row r="47" spans="2:63" ht="15" customHeight="1">
      <c r="B47" s="140" t="s">
        <v>148</v>
      </c>
      <c r="C47" s="99" t="s">
        <v>149</v>
      </c>
      <c r="D47" s="100"/>
      <c r="E47" s="100"/>
      <c r="F47" s="100"/>
      <c r="G47" s="100"/>
      <c r="H47" s="100"/>
      <c r="I47" s="100"/>
      <c r="J47" s="101"/>
      <c r="K47" s="99" t="s">
        <v>150</v>
      </c>
      <c r="L47" s="100"/>
      <c r="M47" s="100"/>
      <c r="N47" s="100"/>
      <c r="O47" s="100"/>
      <c r="P47" s="100"/>
      <c r="Q47" s="100"/>
      <c r="R47" s="100"/>
      <c r="S47" s="101"/>
      <c r="T47" s="99" t="s">
        <v>151</v>
      </c>
      <c r="U47" s="100"/>
      <c r="V47" s="100"/>
      <c r="W47" s="100"/>
      <c r="X47" s="100"/>
      <c r="Y47" s="100"/>
      <c r="Z47" s="100"/>
      <c r="AA47" s="100"/>
      <c r="AB47" s="100"/>
      <c r="AC47" s="100"/>
      <c r="AD47" s="100"/>
      <c r="AE47" s="100"/>
      <c r="AF47" s="100"/>
      <c r="AG47" s="100"/>
      <c r="AH47" s="101"/>
      <c r="AI47" s="99" t="s">
        <v>152</v>
      </c>
      <c r="AJ47" s="100"/>
      <c r="AK47" s="100"/>
      <c r="AL47" s="100"/>
      <c r="AM47" s="100"/>
      <c r="AN47" s="100"/>
      <c r="AO47" s="100"/>
      <c r="AP47" s="100"/>
      <c r="AQ47" s="100"/>
      <c r="AR47" s="100"/>
      <c r="AS47" s="100"/>
      <c r="AT47" s="100"/>
      <c r="AU47" s="100"/>
      <c r="AV47" s="100"/>
      <c r="AW47" s="101"/>
      <c r="AX47" s="78" t="s">
        <v>9</v>
      </c>
      <c r="AY47" s="78"/>
      <c r="AZ47" s="78" t="s">
        <v>10</v>
      </c>
      <c r="BA47" s="78"/>
      <c r="BB47" s="78" t="s">
        <v>11</v>
      </c>
      <c r="BC47" s="78"/>
    </row>
    <row r="48" spans="2:63" ht="13.5" customHeight="1">
      <c r="B48" s="143"/>
      <c r="C48" s="20"/>
      <c r="D48" s="21"/>
      <c r="E48" s="21"/>
      <c r="F48" s="21"/>
      <c r="G48" s="21"/>
      <c r="H48" s="21"/>
      <c r="I48" s="21"/>
      <c r="J48" s="22"/>
      <c r="K48" s="20"/>
      <c r="L48" s="21"/>
      <c r="M48" s="21"/>
      <c r="N48" s="21"/>
      <c r="O48" s="21"/>
      <c r="P48" s="21"/>
      <c r="Q48" s="21"/>
      <c r="R48" s="21"/>
      <c r="S48" s="22"/>
      <c r="T48" s="20"/>
      <c r="U48" s="21"/>
      <c r="V48" s="21"/>
      <c r="W48" s="21"/>
      <c r="X48" s="21"/>
      <c r="Y48" s="21"/>
      <c r="Z48" s="21"/>
      <c r="AA48" s="21"/>
      <c r="AB48" s="21"/>
      <c r="AC48" s="21"/>
      <c r="AD48" s="21"/>
      <c r="AE48" s="21"/>
      <c r="AF48" s="21"/>
      <c r="AG48" s="21"/>
      <c r="AH48" s="22"/>
      <c r="AI48" s="21"/>
      <c r="AJ48" s="21"/>
      <c r="AK48" s="21"/>
      <c r="AL48" s="21"/>
      <c r="AM48" s="21"/>
      <c r="AN48" s="21"/>
      <c r="AO48" s="21"/>
      <c r="AP48" s="21"/>
      <c r="AQ48" s="21"/>
      <c r="AR48" s="21"/>
      <c r="AS48" s="21"/>
      <c r="AT48" s="21"/>
      <c r="AU48" s="21"/>
      <c r="AV48" s="21"/>
      <c r="AW48" s="22"/>
      <c r="AX48" s="145"/>
      <c r="AY48" s="146"/>
      <c r="AZ48" s="145"/>
      <c r="BA48" s="146"/>
      <c r="BB48" s="145"/>
      <c r="BC48" s="146"/>
    </row>
    <row r="49" spans="1:55" ht="13.5" customHeight="1">
      <c r="B49" s="143"/>
      <c r="C49" s="23"/>
      <c r="D49" s="24"/>
      <c r="E49" s="24"/>
      <c r="F49" s="24"/>
      <c r="G49" s="24"/>
      <c r="H49" s="24"/>
      <c r="I49" s="24"/>
      <c r="J49" s="25"/>
      <c r="K49" s="23"/>
      <c r="L49" s="24"/>
      <c r="M49" s="24"/>
      <c r="N49" s="24"/>
      <c r="O49" s="24"/>
      <c r="P49" s="24"/>
      <c r="Q49" s="24"/>
      <c r="R49" s="24"/>
      <c r="S49" s="25"/>
      <c r="T49" s="23"/>
      <c r="U49" s="24"/>
      <c r="V49" s="24"/>
      <c r="W49" s="24"/>
      <c r="X49" s="24"/>
      <c r="Y49" s="24"/>
      <c r="Z49" s="24"/>
      <c r="AA49" s="24"/>
      <c r="AB49" s="24"/>
      <c r="AC49" s="24"/>
      <c r="AD49" s="24"/>
      <c r="AE49" s="24"/>
      <c r="AF49" s="24"/>
      <c r="AG49" s="24"/>
      <c r="AH49" s="25"/>
      <c r="AI49" s="24"/>
      <c r="AJ49" s="24"/>
      <c r="AK49" s="24"/>
      <c r="AL49" s="24"/>
      <c r="AM49" s="24"/>
      <c r="AN49" s="24"/>
      <c r="AO49" s="24"/>
      <c r="AP49" s="24"/>
      <c r="AQ49" s="24"/>
      <c r="AR49" s="24"/>
      <c r="AS49" s="24"/>
      <c r="AT49" s="24"/>
      <c r="AU49" s="24"/>
      <c r="AV49" s="24"/>
      <c r="AW49" s="25"/>
      <c r="AX49" s="147"/>
      <c r="AY49" s="148"/>
      <c r="AZ49" s="147"/>
      <c r="BA49" s="148"/>
      <c r="BB49" s="147"/>
      <c r="BC49" s="148"/>
    </row>
    <row r="50" spans="1:55" ht="13.5" customHeight="1">
      <c r="B50" s="143"/>
      <c r="C50" s="20"/>
      <c r="D50" s="21"/>
      <c r="E50" s="21"/>
      <c r="F50" s="21"/>
      <c r="G50" s="21"/>
      <c r="H50" s="21"/>
      <c r="I50" s="21"/>
      <c r="J50" s="22"/>
      <c r="K50" s="20"/>
      <c r="L50" s="21"/>
      <c r="M50" s="21"/>
      <c r="N50" s="21"/>
      <c r="O50" s="21"/>
      <c r="P50" s="21"/>
      <c r="Q50" s="21"/>
      <c r="R50" s="21"/>
      <c r="S50" s="22"/>
      <c r="T50" s="20"/>
      <c r="U50" s="21"/>
      <c r="V50" s="21"/>
      <c r="W50" s="21"/>
      <c r="X50" s="21"/>
      <c r="Y50" s="21"/>
      <c r="Z50" s="21"/>
      <c r="AA50" s="21"/>
      <c r="AB50" s="21"/>
      <c r="AC50" s="21"/>
      <c r="AD50" s="21"/>
      <c r="AE50" s="21"/>
      <c r="AF50" s="21"/>
      <c r="AG50" s="21"/>
      <c r="AH50" s="22"/>
      <c r="AI50" s="21"/>
      <c r="AJ50" s="21"/>
      <c r="AK50" s="21"/>
      <c r="AL50" s="21"/>
      <c r="AM50" s="21"/>
      <c r="AN50" s="21"/>
      <c r="AO50" s="21"/>
      <c r="AP50" s="21"/>
      <c r="AQ50" s="21"/>
      <c r="AR50" s="21"/>
      <c r="AS50" s="21"/>
      <c r="AT50" s="21"/>
      <c r="AU50" s="21"/>
      <c r="AV50" s="21"/>
      <c r="AW50" s="22"/>
      <c r="AX50" s="145"/>
      <c r="AY50" s="146"/>
      <c r="AZ50" s="145"/>
      <c r="BA50" s="146"/>
      <c r="BB50" s="145"/>
      <c r="BC50" s="146"/>
    </row>
    <row r="51" spans="1:55" ht="13.5" customHeight="1">
      <c r="B51" s="143"/>
      <c r="C51" s="23"/>
      <c r="D51" s="24"/>
      <c r="E51" s="24"/>
      <c r="F51" s="24"/>
      <c r="G51" s="24"/>
      <c r="H51" s="24"/>
      <c r="I51" s="24"/>
      <c r="J51" s="25"/>
      <c r="K51" s="23"/>
      <c r="L51" s="24"/>
      <c r="M51" s="24"/>
      <c r="N51" s="24"/>
      <c r="O51" s="24"/>
      <c r="P51" s="24"/>
      <c r="Q51" s="24"/>
      <c r="R51" s="24"/>
      <c r="S51" s="25"/>
      <c r="T51" s="23"/>
      <c r="U51" s="24"/>
      <c r="V51" s="24"/>
      <c r="W51" s="24"/>
      <c r="X51" s="24"/>
      <c r="Y51" s="24"/>
      <c r="Z51" s="24"/>
      <c r="AA51" s="24"/>
      <c r="AB51" s="24"/>
      <c r="AC51" s="24"/>
      <c r="AD51" s="24"/>
      <c r="AE51" s="24"/>
      <c r="AF51" s="24"/>
      <c r="AG51" s="24"/>
      <c r="AH51" s="25"/>
      <c r="AI51" s="24"/>
      <c r="AJ51" s="24"/>
      <c r="AK51" s="24"/>
      <c r="AL51" s="24"/>
      <c r="AM51" s="24"/>
      <c r="AN51" s="24"/>
      <c r="AO51" s="24"/>
      <c r="AP51" s="24"/>
      <c r="AQ51" s="24"/>
      <c r="AR51" s="24"/>
      <c r="AS51" s="24"/>
      <c r="AT51" s="24"/>
      <c r="AU51" s="24"/>
      <c r="AV51" s="24"/>
      <c r="AW51" s="25"/>
      <c r="AX51" s="147"/>
      <c r="AY51" s="148"/>
      <c r="AZ51" s="147"/>
      <c r="BA51" s="148"/>
      <c r="BB51" s="147"/>
      <c r="BC51" s="148"/>
    </row>
    <row r="52" spans="1:55" ht="13.5" customHeight="1">
      <c r="B52" s="143"/>
      <c r="C52" s="20"/>
      <c r="D52" s="21"/>
      <c r="E52" s="21"/>
      <c r="F52" s="21"/>
      <c r="G52" s="21"/>
      <c r="H52" s="21"/>
      <c r="I52" s="21"/>
      <c r="J52" s="22"/>
      <c r="K52" s="20"/>
      <c r="L52" s="21"/>
      <c r="M52" s="21"/>
      <c r="N52" s="21"/>
      <c r="O52" s="21"/>
      <c r="P52" s="21"/>
      <c r="Q52" s="21"/>
      <c r="R52" s="21"/>
      <c r="S52" s="22"/>
      <c r="T52" s="20"/>
      <c r="U52" s="21"/>
      <c r="V52" s="21"/>
      <c r="W52" s="21"/>
      <c r="X52" s="21"/>
      <c r="Y52" s="21"/>
      <c r="Z52" s="21"/>
      <c r="AA52" s="21"/>
      <c r="AB52" s="21"/>
      <c r="AC52" s="21"/>
      <c r="AD52" s="21"/>
      <c r="AE52" s="21"/>
      <c r="AF52" s="21"/>
      <c r="AG52" s="21"/>
      <c r="AH52" s="22"/>
      <c r="AI52" s="21"/>
      <c r="AJ52" s="21"/>
      <c r="AK52" s="21"/>
      <c r="AL52" s="21"/>
      <c r="AM52" s="21"/>
      <c r="AN52" s="21"/>
      <c r="AO52" s="21"/>
      <c r="AP52" s="21"/>
      <c r="AQ52" s="21"/>
      <c r="AR52" s="21"/>
      <c r="AS52" s="21"/>
      <c r="AT52" s="21"/>
      <c r="AU52" s="21"/>
      <c r="AV52" s="21"/>
      <c r="AW52" s="22"/>
      <c r="AX52" s="145"/>
      <c r="AY52" s="146"/>
      <c r="AZ52" s="145"/>
      <c r="BA52" s="146"/>
      <c r="BB52" s="145"/>
      <c r="BC52" s="146"/>
    </row>
    <row r="53" spans="1:55" ht="13.5" customHeight="1">
      <c r="B53" s="143"/>
      <c r="C53" s="23"/>
      <c r="D53" s="24"/>
      <c r="E53" s="24"/>
      <c r="F53" s="24"/>
      <c r="G53" s="24"/>
      <c r="H53" s="24"/>
      <c r="I53" s="24"/>
      <c r="J53" s="25"/>
      <c r="K53" s="23"/>
      <c r="L53" s="24"/>
      <c r="M53" s="24"/>
      <c r="N53" s="24"/>
      <c r="O53" s="24"/>
      <c r="P53" s="24"/>
      <c r="Q53" s="24"/>
      <c r="R53" s="24"/>
      <c r="S53" s="25"/>
      <c r="T53" s="23"/>
      <c r="U53" s="24"/>
      <c r="V53" s="24"/>
      <c r="W53" s="24"/>
      <c r="X53" s="24"/>
      <c r="Y53" s="24"/>
      <c r="Z53" s="24"/>
      <c r="AA53" s="24"/>
      <c r="AB53" s="24"/>
      <c r="AC53" s="24"/>
      <c r="AD53" s="24"/>
      <c r="AE53" s="24"/>
      <c r="AF53" s="24"/>
      <c r="AG53" s="24"/>
      <c r="AH53" s="25"/>
      <c r="AI53" s="24"/>
      <c r="AJ53" s="24"/>
      <c r="AK53" s="24"/>
      <c r="AL53" s="24"/>
      <c r="AM53" s="24"/>
      <c r="AN53" s="24"/>
      <c r="AO53" s="24"/>
      <c r="AP53" s="24"/>
      <c r="AQ53" s="24"/>
      <c r="AR53" s="24"/>
      <c r="AS53" s="24"/>
      <c r="AT53" s="24"/>
      <c r="AU53" s="24"/>
      <c r="AV53" s="24"/>
      <c r="AW53" s="25"/>
      <c r="AX53" s="147"/>
      <c r="AY53" s="148"/>
      <c r="AZ53" s="147"/>
      <c r="BA53" s="148"/>
      <c r="BB53" s="147"/>
      <c r="BC53" s="148"/>
    </row>
    <row r="54" spans="1:55" ht="17.25" customHeight="1">
      <c r="A54" s="10"/>
      <c r="B54" s="144"/>
      <c r="C54" s="26" t="s">
        <v>153</v>
      </c>
      <c r="D54" s="24"/>
      <c r="E54" s="24"/>
      <c r="F54" s="24"/>
      <c r="G54" s="24"/>
      <c r="H54" s="24"/>
      <c r="I54" s="24"/>
      <c r="J54" s="25"/>
      <c r="K54" s="23"/>
      <c r="L54" s="24"/>
      <c r="M54" s="24"/>
      <c r="N54" s="24"/>
      <c r="O54" s="24"/>
      <c r="P54" s="24"/>
      <c r="Q54" s="24"/>
      <c r="R54" s="24"/>
      <c r="S54" s="25"/>
      <c r="T54" s="149" t="s">
        <v>154</v>
      </c>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1"/>
      <c r="AX54" s="152" t="str">
        <f>IF(SUM(AX48:AY53)=0,"",SUM(AX48:AY53))</f>
        <v/>
      </c>
      <c r="AY54" s="153"/>
      <c r="AZ54" s="152" t="str">
        <f t="shared" ref="AZ54" si="7">IF(SUM(AZ48:BA53)=0,"",SUM(AZ48:BA53))</f>
        <v/>
      </c>
      <c r="BA54" s="153"/>
      <c r="BB54" s="152" t="str">
        <f t="shared" ref="BB54" si="8">IF(SUM(BB48:BC53)=0,"",SUM(BB48:BC53))</f>
        <v/>
      </c>
      <c r="BC54" s="153"/>
    </row>
    <row r="55" spans="1:55" ht="6" customHeight="1">
      <c r="B55" s="19"/>
    </row>
    <row r="56" spans="1:55" ht="18" customHeight="1">
      <c r="B56" s="99" t="s">
        <v>155</v>
      </c>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1"/>
      <c r="AB56" s="99" t="s">
        <v>156</v>
      </c>
      <c r="AC56" s="100"/>
      <c r="AD56" s="100"/>
      <c r="AE56" s="100"/>
      <c r="AF56" s="100"/>
      <c r="AG56" s="100"/>
      <c r="AH56" s="100"/>
      <c r="AI56" s="100"/>
      <c r="AJ56" s="100"/>
      <c r="AK56" s="100"/>
      <c r="AL56" s="100"/>
      <c r="AM56" s="100"/>
      <c r="AN56" s="100"/>
      <c r="AO56" s="100"/>
      <c r="AP56" s="100"/>
      <c r="AQ56" s="100"/>
      <c r="AR56" s="100"/>
      <c r="AS56" s="100"/>
      <c r="AT56" s="100"/>
      <c r="AU56" s="100"/>
      <c r="AV56" s="100"/>
      <c r="AW56" s="100"/>
      <c r="AX56" s="100"/>
      <c r="AY56" s="100"/>
      <c r="AZ56" s="100"/>
      <c r="BA56" s="100"/>
      <c r="BB56" s="100"/>
      <c r="BC56" s="101"/>
    </row>
    <row r="57" spans="1:55">
      <c r="B57" s="27"/>
      <c r="C57" s="28"/>
      <c r="D57" s="28"/>
      <c r="E57" s="28"/>
      <c r="F57" s="28"/>
      <c r="G57" s="28"/>
      <c r="H57" s="28"/>
      <c r="I57" s="28"/>
      <c r="J57" s="28"/>
      <c r="K57" s="28"/>
      <c r="L57" s="28"/>
      <c r="M57" s="28"/>
      <c r="N57" s="28"/>
      <c r="O57" s="28"/>
      <c r="P57" s="28"/>
      <c r="Q57" s="28"/>
      <c r="R57" s="28"/>
      <c r="S57" s="28"/>
      <c r="T57" s="28"/>
      <c r="U57" s="28"/>
      <c r="V57" s="28"/>
      <c r="W57" s="28"/>
      <c r="X57" s="28"/>
      <c r="Y57" s="28"/>
      <c r="Z57" s="28"/>
      <c r="AA57" s="29"/>
      <c r="AB57" s="27"/>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9"/>
    </row>
    <row r="58" spans="1:55">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0"/>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2"/>
    </row>
    <row r="59" spans="1:55">
      <c r="B59" s="33"/>
      <c r="C59" s="34"/>
      <c r="D59" s="34"/>
      <c r="E59" s="34"/>
      <c r="F59" s="34"/>
      <c r="G59" s="34"/>
      <c r="H59" s="34"/>
      <c r="I59" s="34"/>
      <c r="J59" s="34"/>
      <c r="K59" s="34"/>
      <c r="L59" s="34"/>
      <c r="M59" s="34"/>
      <c r="N59" s="34"/>
      <c r="O59" s="34"/>
      <c r="P59" s="34"/>
      <c r="Q59" s="34"/>
      <c r="R59" s="34"/>
      <c r="S59" s="34"/>
      <c r="T59" s="34"/>
      <c r="U59" s="34"/>
      <c r="V59" s="34"/>
      <c r="W59" s="34"/>
      <c r="X59" s="34"/>
      <c r="Y59" s="34"/>
      <c r="Z59" s="34"/>
      <c r="AA59" s="35"/>
      <c r="AB59" s="33"/>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5"/>
    </row>
    <row r="60" spans="1:55" ht="6" customHeight="1" thickBot="1"/>
    <row r="61" spans="1:55" ht="24.75" customHeight="1" thickTop="1">
      <c r="B61" s="154" t="s">
        <v>171</v>
      </c>
      <c r="C61" s="164"/>
      <c r="D61" s="164"/>
      <c r="E61" s="155"/>
      <c r="F61" s="158" t="s">
        <v>157</v>
      </c>
      <c r="G61" s="159"/>
      <c r="H61" s="160"/>
      <c r="I61" s="166" t="str">
        <f>IF(AZ25="","",AZ25*0.3)</f>
        <v/>
      </c>
      <c r="J61" s="167"/>
      <c r="L61" s="168" t="s">
        <v>158</v>
      </c>
      <c r="N61" s="154" t="s">
        <v>173</v>
      </c>
      <c r="O61" s="164"/>
      <c r="P61" s="164"/>
      <c r="Q61" s="155"/>
      <c r="R61" s="158" t="s">
        <v>157</v>
      </c>
      <c r="S61" s="159"/>
      <c r="T61" s="160"/>
      <c r="U61" s="166" t="str">
        <f>IF(AZ45="","",AZ45*0.7)</f>
        <v/>
      </c>
      <c r="V61" s="167"/>
      <c r="X61" s="168" t="s">
        <v>158</v>
      </c>
      <c r="Z61" s="154" t="s">
        <v>147</v>
      </c>
      <c r="AA61" s="155"/>
      <c r="AB61" s="158" t="s">
        <v>157</v>
      </c>
      <c r="AC61" s="159"/>
      <c r="AD61" s="160"/>
      <c r="AE61" s="166" t="str">
        <f>IF(AZ54="","",AZ54)</f>
        <v/>
      </c>
      <c r="AF61" s="184"/>
      <c r="AG61" s="167"/>
      <c r="AI61" s="168" t="s">
        <v>159</v>
      </c>
      <c r="AK61" s="178" t="s">
        <v>157</v>
      </c>
      <c r="AL61" s="179"/>
      <c r="AM61" s="180"/>
      <c r="AN61" s="181" t="str">
        <f>IF(OR(SUM(I61,U61,AE61)="",SUM(I61,U61,AE61)=0),"",SUM(I61,U61,AE61))</f>
        <v/>
      </c>
      <c r="AO61" s="182"/>
      <c r="AP61" s="182"/>
      <c r="AQ61" s="182"/>
      <c r="AR61" s="183"/>
    </row>
    <row r="62" spans="1:55" ht="24.75" customHeight="1" thickBot="1">
      <c r="B62" s="156"/>
      <c r="C62" s="165"/>
      <c r="D62" s="165"/>
      <c r="E62" s="157"/>
      <c r="F62" s="161" t="s">
        <v>160</v>
      </c>
      <c r="G62" s="162"/>
      <c r="H62" s="163"/>
      <c r="I62" s="169" t="str">
        <f>IF(BB25="","",BB25*0.3)</f>
        <v/>
      </c>
      <c r="J62" s="171"/>
      <c r="L62" s="168"/>
      <c r="N62" s="156"/>
      <c r="O62" s="165"/>
      <c r="P62" s="165"/>
      <c r="Q62" s="157"/>
      <c r="R62" s="161" t="s">
        <v>160</v>
      </c>
      <c r="S62" s="162"/>
      <c r="T62" s="163"/>
      <c r="U62" s="169" t="str">
        <f>IF(BB45="","",BB45*0.7)</f>
        <v/>
      </c>
      <c r="V62" s="171"/>
      <c r="X62" s="168"/>
      <c r="Z62" s="156"/>
      <c r="AA62" s="157"/>
      <c r="AB62" s="161" t="s">
        <v>160</v>
      </c>
      <c r="AC62" s="162"/>
      <c r="AD62" s="163"/>
      <c r="AE62" s="169" t="str">
        <f>IF(BB54="","",BB54)</f>
        <v/>
      </c>
      <c r="AF62" s="170"/>
      <c r="AG62" s="171"/>
      <c r="AI62" s="168"/>
      <c r="AK62" s="172" t="s">
        <v>160</v>
      </c>
      <c r="AL62" s="173"/>
      <c r="AM62" s="174"/>
      <c r="AN62" s="175" t="str">
        <f>IF(OR(SUM(I62,U62,AE62)="",SUM(I62,U62,AE62)=0),"",SUM(I62,U62,AE62))</f>
        <v/>
      </c>
      <c r="AO62" s="176"/>
      <c r="AP62" s="176"/>
      <c r="AQ62" s="176"/>
      <c r="AR62" s="177"/>
    </row>
  </sheetData>
  <sheetProtection sheet="1" objects="1" scenarios="1" insertColumns="0" insertRows="0" deleteColumns="0" deleteRows="0"/>
  <mergeCells count="319">
    <mergeCell ref="C43:G43"/>
    <mergeCell ref="C42:G42"/>
    <mergeCell ref="AL39:AQ39"/>
    <mergeCell ref="AR39:AW39"/>
    <mergeCell ref="H40:P40"/>
    <mergeCell ref="Q40:S40"/>
    <mergeCell ref="T40:Y40"/>
    <mergeCell ref="Z40:AE40"/>
    <mergeCell ref="AF40:AK40"/>
    <mergeCell ref="AL40:AQ40"/>
    <mergeCell ref="AR40:AW40"/>
    <mergeCell ref="C39:G39"/>
    <mergeCell ref="H39:P39"/>
    <mergeCell ref="Q39:S39"/>
    <mergeCell ref="T39:Y39"/>
    <mergeCell ref="Z39:AE39"/>
    <mergeCell ref="AF39:AK39"/>
    <mergeCell ref="AL43:AQ43"/>
    <mergeCell ref="AR43:AW43"/>
    <mergeCell ref="H43:P43"/>
    <mergeCell ref="Q43:S43"/>
    <mergeCell ref="T43:Y43"/>
    <mergeCell ref="Z43:AE43"/>
    <mergeCell ref="AF43:AK43"/>
    <mergeCell ref="AL42:AQ42"/>
    <mergeCell ref="AR42:AW42"/>
    <mergeCell ref="C41:G41"/>
    <mergeCell ref="C40:G40"/>
    <mergeCell ref="H42:P42"/>
    <mergeCell ref="Q42:S42"/>
    <mergeCell ref="T42:Y42"/>
    <mergeCell ref="Z42:AE42"/>
    <mergeCell ref="AF42:AK42"/>
    <mergeCell ref="AL41:AQ41"/>
    <mergeCell ref="AR41:AW41"/>
    <mergeCell ref="H41:P41"/>
    <mergeCell ref="Q41:S41"/>
    <mergeCell ref="T41:Y41"/>
    <mergeCell ref="Z41:AE41"/>
    <mergeCell ref="AF41:AK41"/>
    <mergeCell ref="AX42:AY42"/>
    <mergeCell ref="AZ42:BA42"/>
    <mergeCell ref="BB42:BC42"/>
    <mergeCell ref="AX43:AY43"/>
    <mergeCell ref="AZ43:BA43"/>
    <mergeCell ref="BB43:BC43"/>
    <mergeCell ref="AR37:AW37"/>
    <mergeCell ref="AX37:AY37"/>
    <mergeCell ref="AZ37:BA37"/>
    <mergeCell ref="BB37:BC37"/>
    <mergeCell ref="AX41:AY41"/>
    <mergeCell ref="AZ41:BA41"/>
    <mergeCell ref="BB41:BC41"/>
    <mergeCell ref="AX38:AY38"/>
    <mergeCell ref="AZ38:BA38"/>
    <mergeCell ref="BB38:BC38"/>
    <mergeCell ref="AX39:AY39"/>
    <mergeCell ref="AX40:AY40"/>
    <mergeCell ref="AZ40:BA40"/>
    <mergeCell ref="BB40:BC40"/>
    <mergeCell ref="AZ39:BA39"/>
    <mergeCell ref="BB39:BC39"/>
    <mergeCell ref="AR38:AW38"/>
    <mergeCell ref="C37:G37"/>
    <mergeCell ref="H37:P37"/>
    <mergeCell ref="Q37:S37"/>
    <mergeCell ref="T37:Y37"/>
    <mergeCell ref="Z37:AE37"/>
    <mergeCell ref="AF37:AK37"/>
    <mergeCell ref="AL37:AQ37"/>
    <mergeCell ref="AE61:AG61"/>
    <mergeCell ref="AI61:AI62"/>
    <mergeCell ref="F62:H62"/>
    <mergeCell ref="I62:J62"/>
    <mergeCell ref="R62:T62"/>
    <mergeCell ref="U62:V62"/>
    <mergeCell ref="N61:Q62"/>
    <mergeCell ref="R61:T61"/>
    <mergeCell ref="U61:V61"/>
    <mergeCell ref="X61:X62"/>
    <mergeCell ref="C38:G38"/>
    <mergeCell ref="H38:P38"/>
    <mergeCell ref="Q38:S38"/>
    <mergeCell ref="T38:Y38"/>
    <mergeCell ref="Z38:AE38"/>
    <mergeCell ref="AF38:AK38"/>
    <mergeCell ref="AL38:AQ38"/>
    <mergeCell ref="Z61:AA62"/>
    <mergeCell ref="AB61:AD61"/>
    <mergeCell ref="AB62:AD62"/>
    <mergeCell ref="B56:AA56"/>
    <mergeCell ref="AB56:BC56"/>
    <mergeCell ref="B61:E62"/>
    <mergeCell ref="F61:H61"/>
    <mergeCell ref="I61:J61"/>
    <mergeCell ref="L61:L62"/>
    <mergeCell ref="AE62:AG62"/>
    <mergeCell ref="AK62:AM62"/>
    <mergeCell ref="AN62:AR62"/>
    <mergeCell ref="AK61:AM61"/>
    <mergeCell ref="AN61:AR61"/>
    <mergeCell ref="B47:B54"/>
    <mergeCell ref="C47:J47"/>
    <mergeCell ref="K47:S47"/>
    <mergeCell ref="T47:AH47"/>
    <mergeCell ref="AI47:AW47"/>
    <mergeCell ref="AX47:AY47"/>
    <mergeCell ref="AZ47:BA47"/>
    <mergeCell ref="BB47:BC47"/>
    <mergeCell ref="AX52:AY53"/>
    <mergeCell ref="AZ52:BA53"/>
    <mergeCell ref="BB52:BC53"/>
    <mergeCell ref="T54:AW54"/>
    <mergeCell ref="AX48:AY49"/>
    <mergeCell ref="AZ48:BA49"/>
    <mergeCell ref="BB48:BC49"/>
    <mergeCell ref="AX50:AY51"/>
    <mergeCell ref="AZ50:BA51"/>
    <mergeCell ref="BB50:BC51"/>
    <mergeCell ref="AX54:AY54"/>
    <mergeCell ref="AZ54:BA54"/>
    <mergeCell ref="BB54:BC54"/>
    <mergeCell ref="AZ44:BA44"/>
    <mergeCell ref="BB44:BC44"/>
    <mergeCell ref="BF44:BG44"/>
    <mergeCell ref="B45:P45"/>
    <mergeCell ref="Q45:S45"/>
    <mergeCell ref="T45:AW45"/>
    <mergeCell ref="AX45:AY45"/>
    <mergeCell ref="AZ45:BA45"/>
    <mergeCell ref="BB45:BC45"/>
    <mergeCell ref="BF45:BG45"/>
    <mergeCell ref="C44:G44"/>
    <mergeCell ref="H44:P44"/>
    <mergeCell ref="Q44:S44"/>
    <mergeCell ref="T44:Y44"/>
    <mergeCell ref="Z44:AE44"/>
    <mergeCell ref="AF44:AK44"/>
    <mergeCell ref="AL44:AQ44"/>
    <mergeCell ref="AR44:AW44"/>
    <mergeCell ref="AX44:AY44"/>
    <mergeCell ref="B27:B44"/>
    <mergeCell ref="C27:G27"/>
    <mergeCell ref="H27:P27"/>
    <mergeCell ref="Q27:S27"/>
    <mergeCell ref="T27:Y27"/>
    <mergeCell ref="AZ35:BA35"/>
    <mergeCell ref="BB35:BC35"/>
    <mergeCell ref="BF35:BG35"/>
    <mergeCell ref="C36:G36"/>
    <mergeCell ref="H36:P36"/>
    <mergeCell ref="Q36:S36"/>
    <mergeCell ref="T36:Y36"/>
    <mergeCell ref="Z36:AE36"/>
    <mergeCell ref="BF36:BG36"/>
    <mergeCell ref="AF36:AK36"/>
    <mergeCell ref="AL36:AQ36"/>
    <mergeCell ref="AR36:AW36"/>
    <mergeCell ref="AX36:AY36"/>
    <mergeCell ref="AZ36:BA36"/>
    <mergeCell ref="BB36:BC36"/>
    <mergeCell ref="C35:G35"/>
    <mergeCell ref="H35:P35"/>
    <mergeCell ref="Q35:S35"/>
    <mergeCell ref="T35:Y35"/>
    <mergeCell ref="Z35:AE35"/>
    <mergeCell ref="AF35:AK35"/>
    <mergeCell ref="AL35:AQ35"/>
    <mergeCell ref="AR35:AW35"/>
    <mergeCell ref="AX35:AY35"/>
    <mergeCell ref="AZ33:BA33"/>
    <mergeCell ref="BB33:BC33"/>
    <mergeCell ref="BF33:BG33"/>
    <mergeCell ref="C34:G34"/>
    <mergeCell ref="H34:P34"/>
    <mergeCell ref="Q34:S34"/>
    <mergeCell ref="T34:Y34"/>
    <mergeCell ref="Z34:AE34"/>
    <mergeCell ref="BF34:BG34"/>
    <mergeCell ref="AF34:AK34"/>
    <mergeCell ref="AL34:AQ34"/>
    <mergeCell ref="AR34:AW34"/>
    <mergeCell ref="AX34:AY34"/>
    <mergeCell ref="AZ34:BA34"/>
    <mergeCell ref="BB34:BC34"/>
    <mergeCell ref="C33:G33"/>
    <mergeCell ref="H33:P33"/>
    <mergeCell ref="Q33:S33"/>
    <mergeCell ref="T33:Y33"/>
    <mergeCell ref="Z33:AE33"/>
    <mergeCell ref="AF33:AK33"/>
    <mergeCell ref="AL33:AQ33"/>
    <mergeCell ref="AR33:AW33"/>
    <mergeCell ref="AX33:AY33"/>
    <mergeCell ref="C31:G31"/>
    <mergeCell ref="H31:P31"/>
    <mergeCell ref="Q31:S31"/>
    <mergeCell ref="T31:Y31"/>
    <mergeCell ref="Z31:AE31"/>
    <mergeCell ref="BF31:BG31"/>
    <mergeCell ref="C32:G32"/>
    <mergeCell ref="H32:P32"/>
    <mergeCell ref="Q32:S32"/>
    <mergeCell ref="T32:Y32"/>
    <mergeCell ref="Z32:AE32"/>
    <mergeCell ref="AF32:AK32"/>
    <mergeCell ref="AL32:AQ32"/>
    <mergeCell ref="AR32:AW32"/>
    <mergeCell ref="AX32:AY32"/>
    <mergeCell ref="AF31:AK31"/>
    <mergeCell ref="AL31:AQ31"/>
    <mergeCell ref="AR31:AW31"/>
    <mergeCell ref="AX31:AY31"/>
    <mergeCell ref="AZ31:BA31"/>
    <mergeCell ref="BB31:BC31"/>
    <mergeCell ref="AZ32:BA32"/>
    <mergeCell ref="BB32:BC32"/>
    <mergeCell ref="BF32:BG32"/>
    <mergeCell ref="C28:G28"/>
    <mergeCell ref="H28:P28"/>
    <mergeCell ref="Q28:S28"/>
    <mergeCell ref="T28:Y28"/>
    <mergeCell ref="Z28:AE28"/>
    <mergeCell ref="AF30:AK30"/>
    <mergeCell ref="AL30:AQ30"/>
    <mergeCell ref="AR30:AW30"/>
    <mergeCell ref="AX30:AY30"/>
    <mergeCell ref="AF28:AK28"/>
    <mergeCell ref="AL28:AQ28"/>
    <mergeCell ref="AR28:AW28"/>
    <mergeCell ref="AX28:AY28"/>
    <mergeCell ref="AZ28:BA28"/>
    <mergeCell ref="AR27:AW27"/>
    <mergeCell ref="AX27:AY27"/>
    <mergeCell ref="AZ27:BA27"/>
    <mergeCell ref="BB27:BC27"/>
    <mergeCell ref="BF27:BG27"/>
    <mergeCell ref="BF25:BG26"/>
    <mergeCell ref="BB28:BC28"/>
    <mergeCell ref="BI25:BK26"/>
    <mergeCell ref="Z27:AE27"/>
    <mergeCell ref="AF27:AK27"/>
    <mergeCell ref="AL27:AQ27"/>
    <mergeCell ref="AZ30:BA30"/>
    <mergeCell ref="BB30:BC30"/>
    <mergeCell ref="BF30:BG30"/>
    <mergeCell ref="BF28:BG28"/>
    <mergeCell ref="C30:G30"/>
    <mergeCell ref="H30:P30"/>
    <mergeCell ref="Q30:S30"/>
    <mergeCell ref="T30:Y30"/>
    <mergeCell ref="Z30:AE30"/>
    <mergeCell ref="C29:G29"/>
    <mergeCell ref="H29:P29"/>
    <mergeCell ref="Q29:S29"/>
    <mergeCell ref="T29:Y29"/>
    <mergeCell ref="Z29:AE29"/>
    <mergeCell ref="AF29:AK29"/>
    <mergeCell ref="AL29:AQ29"/>
    <mergeCell ref="AR29:AW29"/>
    <mergeCell ref="AX29:AY29"/>
    <mergeCell ref="AZ29:BA29"/>
    <mergeCell ref="BB29:BC29"/>
    <mergeCell ref="BF29:BG29"/>
    <mergeCell ref="B25:P25"/>
    <mergeCell ref="Q25:S25"/>
    <mergeCell ref="T25:AW25"/>
    <mergeCell ref="AX25:AY25"/>
    <mergeCell ref="AZ25:BA25"/>
    <mergeCell ref="BB25:BC25"/>
    <mergeCell ref="AZ15:BA19"/>
    <mergeCell ref="BB15:BC19"/>
    <mergeCell ref="C20:I24"/>
    <mergeCell ref="J20:P24"/>
    <mergeCell ref="AF20:AF24"/>
    <mergeCell ref="AH20:AH24"/>
    <mergeCell ref="AU20:AU24"/>
    <mergeCell ref="AW20:AW24"/>
    <mergeCell ref="AX20:AY24"/>
    <mergeCell ref="B9:B24"/>
    <mergeCell ref="C9:I9"/>
    <mergeCell ref="J9:P9"/>
    <mergeCell ref="Q9:S9"/>
    <mergeCell ref="T9:AH9"/>
    <mergeCell ref="AI9:AW9"/>
    <mergeCell ref="C15:I19"/>
    <mergeCell ref="BB9:BC9"/>
    <mergeCell ref="C10:I14"/>
    <mergeCell ref="AX9:AY9"/>
    <mergeCell ref="AZ9:BA9"/>
    <mergeCell ref="B6:C6"/>
    <mergeCell ref="D6:N6"/>
    <mergeCell ref="AR6:AV6"/>
    <mergeCell ref="AW6:BC6"/>
    <mergeCell ref="B7:C7"/>
    <mergeCell ref="D7:H7"/>
    <mergeCell ref="I7:J7"/>
    <mergeCell ref="K7:N7"/>
    <mergeCell ref="AR7:AV7"/>
    <mergeCell ref="AW7:BC7"/>
    <mergeCell ref="Q20:S24"/>
    <mergeCell ref="BB10:BC14"/>
    <mergeCell ref="J15:P19"/>
    <mergeCell ref="Q15:S19"/>
    <mergeCell ref="AF15:AF19"/>
    <mergeCell ref="AH15:AH19"/>
    <mergeCell ref="AU15:AU19"/>
    <mergeCell ref="AW15:AW19"/>
    <mergeCell ref="AX15:AY19"/>
    <mergeCell ref="AZ20:BA24"/>
    <mergeCell ref="BB20:BC24"/>
    <mergeCell ref="J10:P14"/>
    <mergeCell ref="Q10:S14"/>
    <mergeCell ref="AF10:AF14"/>
    <mergeCell ref="AH10:AH14"/>
    <mergeCell ref="AU10:AU14"/>
    <mergeCell ref="AW10:AW14"/>
    <mergeCell ref="AX10:AY14"/>
    <mergeCell ref="AZ10:BA14"/>
  </mergeCells>
  <phoneticPr fontId="2"/>
  <pageMargins left="0.7" right="0.7" top="0.75" bottom="0.75" header="0.3" footer="0.3"/>
  <pageSetup paperSize="9" orientation="portrait" r:id="rId1"/>
  <ignoredErrors>
    <ignoredError sqref="AW10:BC19 AX25:BC25 AH10:AH24 Q25 I61:J62 U61:V62 AE61:AG62 AN61:AR62 AX54:BC54 AW21:BC24 AW20:BA20 BC2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4"/>
  <sheetViews>
    <sheetView showGridLines="0" tabSelected="1" view="pageBreakPreview" topLeftCell="A3" zoomScaleNormal="100" zoomScaleSheetLayoutView="100" workbookViewId="0">
      <selection activeCell="Y10" sqref="Y10"/>
    </sheetView>
  </sheetViews>
  <sheetFormatPr defaultColWidth="9" defaultRowHeight="15.75"/>
  <cols>
    <col min="1" max="1" width="5.28515625" style="41" customWidth="1"/>
    <col min="2" max="2" width="5" style="41" customWidth="1"/>
    <col min="3" max="3" width="3.28515625" style="41" customWidth="1"/>
    <col min="4" max="4" width="1.42578125" style="41" customWidth="1"/>
    <col min="5" max="7" width="9" style="41"/>
    <col min="8" max="8" width="9" style="41" customWidth="1"/>
    <col min="9" max="11" width="9" style="41"/>
    <col min="12" max="12" width="32.7109375" style="41" customWidth="1"/>
    <col min="13" max="15" width="9" style="41"/>
    <col min="16" max="16384" width="9" style="42"/>
  </cols>
  <sheetData>
    <row r="1" spans="1:26" ht="19.5">
      <c r="A1" s="40" t="s">
        <v>182</v>
      </c>
    </row>
    <row r="2" spans="1:26" ht="19.5">
      <c r="A2" s="40"/>
    </row>
    <row r="3" spans="1:26" ht="16.5">
      <c r="A3" s="43"/>
      <c r="B3" s="44" t="s">
        <v>220</v>
      </c>
    </row>
    <row r="4" spans="1:26" ht="16.5">
      <c r="C4" s="41" t="s">
        <v>191</v>
      </c>
      <c r="E4" s="45"/>
      <c r="F4" s="46"/>
      <c r="G4" s="45"/>
      <c r="H4" s="45" t="s">
        <v>192</v>
      </c>
      <c r="I4" s="45"/>
      <c r="J4" s="45"/>
      <c r="K4" s="45"/>
      <c r="L4" s="45"/>
      <c r="M4" s="45"/>
      <c r="N4" s="47"/>
      <c r="O4" s="47"/>
    </row>
    <row r="5" spans="1:26">
      <c r="C5" s="41" t="s">
        <v>194</v>
      </c>
      <c r="F5" s="41" t="s">
        <v>193</v>
      </c>
      <c r="I5" s="41" t="s">
        <v>195</v>
      </c>
    </row>
    <row r="6" spans="1:26">
      <c r="B6" s="42"/>
      <c r="I6" s="43"/>
    </row>
    <row r="7" spans="1:26">
      <c r="B7" s="42"/>
      <c r="C7" s="41" t="s">
        <v>196</v>
      </c>
    </row>
    <row r="8" spans="1:26">
      <c r="B8" s="42"/>
    </row>
    <row r="10" spans="1:26" ht="16.5">
      <c r="B10" s="44" t="s">
        <v>199</v>
      </c>
    </row>
    <row r="11" spans="1:26" ht="16.5">
      <c r="A11" s="44"/>
      <c r="C11" s="41" t="s">
        <v>203</v>
      </c>
    </row>
    <row r="12" spans="1:26" ht="17.25" customHeight="1">
      <c r="A12" s="44"/>
      <c r="D12" s="50" t="s">
        <v>200</v>
      </c>
      <c r="E12" s="41" t="s">
        <v>201</v>
      </c>
    </row>
    <row r="13" spans="1:26" ht="16.5">
      <c r="A13" s="44"/>
      <c r="E13" s="41" t="s">
        <v>202</v>
      </c>
    </row>
    <row r="14" spans="1:26" ht="16.5">
      <c r="A14" s="44"/>
    </row>
    <row r="15" spans="1:26">
      <c r="A15" s="43"/>
      <c r="C15" s="41" t="s">
        <v>205</v>
      </c>
      <c r="L15" s="48"/>
      <c r="M15" s="48"/>
      <c r="N15" s="48"/>
      <c r="O15" s="48"/>
      <c r="P15" s="48"/>
      <c r="Q15" s="48"/>
      <c r="R15" s="48"/>
      <c r="S15" s="48"/>
      <c r="T15" s="48"/>
      <c r="U15" s="48"/>
      <c r="V15" s="48"/>
      <c r="W15" s="48"/>
      <c r="X15" s="48"/>
      <c r="Y15" s="48"/>
      <c r="Z15" s="48"/>
    </row>
    <row r="16" spans="1:26">
      <c r="A16" s="43"/>
      <c r="D16" s="41" t="s">
        <v>204</v>
      </c>
      <c r="L16" s="42"/>
      <c r="M16" s="48"/>
      <c r="N16" s="48"/>
      <c r="O16" s="48"/>
      <c r="P16" s="48"/>
      <c r="Q16" s="48"/>
      <c r="R16" s="48"/>
      <c r="S16" s="48"/>
      <c r="T16" s="48"/>
      <c r="U16" s="48"/>
      <c r="V16" s="48"/>
      <c r="W16" s="48"/>
      <c r="X16" s="48"/>
      <c r="Y16" s="48"/>
      <c r="Z16" s="48"/>
    </row>
    <row r="17" spans="1:26">
      <c r="A17" s="43"/>
      <c r="L17" s="42"/>
      <c r="M17" s="48"/>
      <c r="N17" s="48"/>
      <c r="O17" s="48"/>
      <c r="P17" s="48"/>
      <c r="Q17" s="48"/>
      <c r="R17" s="48"/>
      <c r="S17" s="48"/>
      <c r="T17" s="48"/>
      <c r="U17" s="48"/>
      <c r="V17" s="48"/>
      <c r="W17" s="48"/>
      <c r="X17" s="48"/>
      <c r="Y17" s="48"/>
      <c r="Z17" s="48"/>
    </row>
    <row r="18" spans="1:26">
      <c r="A18" s="43"/>
      <c r="C18" s="41" t="s">
        <v>206</v>
      </c>
      <c r="L18" s="42"/>
      <c r="M18" s="48"/>
      <c r="N18" s="48"/>
      <c r="O18" s="48"/>
      <c r="P18" s="48"/>
      <c r="Q18" s="48"/>
      <c r="R18" s="48"/>
      <c r="S18" s="48"/>
      <c r="T18" s="48"/>
      <c r="U18" s="48"/>
      <c r="V18" s="48"/>
      <c r="W18" s="48"/>
      <c r="X18" s="48"/>
      <c r="Y18" s="48"/>
      <c r="Z18" s="48"/>
    </row>
    <row r="19" spans="1:26">
      <c r="A19" s="43"/>
      <c r="D19" s="41" t="s">
        <v>208</v>
      </c>
      <c r="L19" s="42"/>
      <c r="M19" s="48"/>
      <c r="N19" s="48"/>
      <c r="O19" s="48"/>
      <c r="P19" s="48"/>
      <c r="Q19" s="48"/>
      <c r="R19" s="48"/>
      <c r="S19" s="48"/>
      <c r="T19" s="48"/>
      <c r="U19" s="48"/>
      <c r="V19" s="48"/>
      <c r="W19" s="48"/>
      <c r="X19" s="48"/>
      <c r="Y19" s="48"/>
      <c r="Z19" s="48"/>
    </row>
    <row r="20" spans="1:26">
      <c r="A20" s="43"/>
      <c r="L20" s="42"/>
      <c r="M20" s="48"/>
      <c r="N20" s="48"/>
      <c r="O20" s="48"/>
      <c r="P20" s="48"/>
      <c r="Q20" s="48"/>
      <c r="R20" s="48"/>
      <c r="S20" s="48"/>
      <c r="T20" s="48"/>
      <c r="U20" s="48"/>
      <c r="V20" s="48"/>
      <c r="W20" s="48"/>
      <c r="X20" s="48"/>
      <c r="Y20" s="48"/>
      <c r="Z20" s="48"/>
    </row>
    <row r="21" spans="1:26">
      <c r="C21" s="41" t="s">
        <v>207</v>
      </c>
      <c r="D21" s="42"/>
      <c r="E21" s="48"/>
      <c r="F21" s="48"/>
      <c r="G21" s="42"/>
      <c r="H21" s="42"/>
      <c r="I21" s="42"/>
      <c r="J21" s="42"/>
      <c r="K21" s="42"/>
      <c r="L21" s="48"/>
      <c r="M21" s="48"/>
      <c r="N21" s="48"/>
      <c r="O21" s="48"/>
      <c r="P21" s="48"/>
      <c r="Q21" s="48"/>
      <c r="R21" s="48"/>
      <c r="S21" s="48"/>
      <c r="T21" s="48"/>
      <c r="U21" s="48"/>
      <c r="V21" s="48"/>
    </row>
    <row r="22" spans="1:26">
      <c r="D22" s="41" t="s">
        <v>209</v>
      </c>
      <c r="E22" s="48"/>
      <c r="F22" s="48"/>
      <c r="G22" s="48"/>
      <c r="H22" s="48"/>
      <c r="I22" s="48"/>
      <c r="J22" s="48"/>
      <c r="K22" s="42"/>
      <c r="L22" s="48"/>
      <c r="M22" s="48"/>
      <c r="N22" s="48"/>
      <c r="O22" s="48"/>
      <c r="P22" s="48"/>
      <c r="Q22" s="48"/>
      <c r="R22" s="48"/>
      <c r="S22" s="48"/>
      <c r="T22" s="48"/>
      <c r="U22" s="48"/>
      <c r="V22" s="48"/>
    </row>
    <row r="23" spans="1:26">
      <c r="E23" s="48"/>
      <c r="F23" s="48"/>
      <c r="G23" s="48"/>
      <c r="H23" s="48"/>
      <c r="I23" s="48"/>
      <c r="J23" s="48"/>
      <c r="K23" s="42"/>
      <c r="L23" s="48"/>
      <c r="M23" s="48"/>
      <c r="N23" s="48"/>
      <c r="O23" s="48"/>
      <c r="P23" s="48"/>
      <c r="Q23" s="48"/>
      <c r="R23" s="48"/>
      <c r="S23" s="48"/>
      <c r="T23" s="48"/>
      <c r="U23" s="48"/>
      <c r="V23" s="48"/>
    </row>
    <row r="24" spans="1:26">
      <c r="E24" s="48"/>
      <c r="F24" s="48"/>
      <c r="G24" s="48"/>
      <c r="H24" s="48"/>
      <c r="I24" s="48"/>
      <c r="J24" s="48"/>
      <c r="K24" s="42"/>
      <c r="L24" s="48"/>
      <c r="M24" s="48"/>
      <c r="N24" s="48"/>
      <c r="O24" s="48"/>
      <c r="P24" s="48"/>
      <c r="Q24" s="48"/>
      <c r="R24" s="48"/>
      <c r="S24" s="48"/>
      <c r="T24" s="48"/>
      <c r="U24" s="48"/>
      <c r="V24" s="48"/>
    </row>
    <row r="25" spans="1:26" ht="16.5">
      <c r="A25" s="44"/>
      <c r="B25" s="44" t="s">
        <v>212</v>
      </c>
      <c r="C25" s="43"/>
      <c r="D25" s="43"/>
      <c r="E25" s="44"/>
    </row>
    <row r="26" spans="1:26">
      <c r="B26" s="42"/>
      <c r="C26" s="41" t="s">
        <v>183</v>
      </c>
    </row>
    <row r="27" spans="1:26">
      <c r="D27" s="41" t="s">
        <v>213</v>
      </c>
    </row>
    <row r="29" spans="1:26">
      <c r="C29" s="41" t="s">
        <v>215</v>
      </c>
    </row>
    <row r="30" spans="1:26">
      <c r="D30" s="41" t="s">
        <v>214</v>
      </c>
    </row>
    <row r="32" spans="1:26">
      <c r="C32" s="41" t="s">
        <v>216</v>
      </c>
      <c r="F32" s="43" t="s">
        <v>218</v>
      </c>
    </row>
    <row r="34" spans="1:9" ht="17.25">
      <c r="C34" s="41" t="s">
        <v>217</v>
      </c>
      <c r="G34" s="43" t="s">
        <v>219</v>
      </c>
    </row>
    <row r="35" spans="1:9">
      <c r="G35" s="43"/>
    </row>
    <row r="37" spans="1:9" ht="19.5">
      <c r="A37" s="40" t="s">
        <v>185</v>
      </c>
    </row>
    <row r="38" spans="1:9" ht="19.5">
      <c r="A38" s="40"/>
    </row>
    <row r="39" spans="1:9">
      <c r="B39" s="43" t="s">
        <v>186</v>
      </c>
      <c r="C39" s="42"/>
      <c r="H39" s="41" t="s">
        <v>187</v>
      </c>
      <c r="I39" s="49">
        <v>4</v>
      </c>
    </row>
    <row r="40" spans="1:9">
      <c r="C40" s="41" t="s">
        <v>188</v>
      </c>
    </row>
    <row r="41" spans="1:9">
      <c r="C41" s="42"/>
      <c r="D41" s="41" t="s">
        <v>189</v>
      </c>
    </row>
    <row r="42" spans="1:9">
      <c r="C42" s="41" t="s">
        <v>184</v>
      </c>
    </row>
    <row r="43" spans="1:9">
      <c r="C43" s="42"/>
      <c r="D43" s="41" t="s">
        <v>190</v>
      </c>
    </row>
    <row r="44" spans="1:9">
      <c r="C44" s="42"/>
    </row>
  </sheetData>
  <phoneticPr fontId="2"/>
  <pageMargins left="0.7" right="0.7" top="0.75" bottom="0.75" header="0.3" footer="0.3"/>
  <pageSetup paperSize="9" scale="6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9DB8C7CA2E3AC40864A78C2C8026274" ma:contentTypeVersion="9" ma:contentTypeDescription="新しいドキュメントを作成します。" ma:contentTypeScope="" ma:versionID="f3e8429970370f069cb6c553687f1ede">
  <xsd:schema xmlns:xsd="http://www.w3.org/2001/XMLSchema" xmlns:xs="http://www.w3.org/2001/XMLSchema" xmlns:p="http://schemas.microsoft.com/office/2006/metadata/properties" xmlns:ns3="91aa0661-b5a3-4bc9-a3cf-37298ed3fc48" xmlns:ns4="8207817d-dc4d-4e04-9f2c-43cb2befaefb" targetNamespace="http://schemas.microsoft.com/office/2006/metadata/properties" ma:root="true" ma:fieldsID="1fe2327124cfe66e06db00c7d645f80f" ns3:_="" ns4:_="">
    <xsd:import namespace="91aa0661-b5a3-4bc9-a3cf-37298ed3fc48"/>
    <xsd:import namespace="8207817d-dc4d-4e04-9f2c-43cb2befae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a0661-b5a3-4bc9-a3cf-37298ed3f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07817d-dc4d-4e04-9f2c-43cb2befaefb"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SharingHintHash" ma:index="16"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4FB59E-DFD9-4744-A75F-E814981D285B}">
  <ds:schemaRefs>
    <ds:schemaRef ds:uri="http://schemas.microsoft.com/sharepoint/v3/contenttype/forms"/>
  </ds:schemaRefs>
</ds:datastoreItem>
</file>

<file path=customXml/itemProps2.xml><?xml version="1.0" encoding="utf-8"?>
<ds:datastoreItem xmlns:ds="http://schemas.openxmlformats.org/officeDocument/2006/customXml" ds:itemID="{0745E38C-86F5-4D50-91EA-F5EA55749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a0661-b5a3-4bc9-a3cf-37298ed3fc48"/>
    <ds:schemaRef ds:uri="8207817d-dc4d-4e04-9f2c-43cb2befae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06225F-DB14-43FA-9D4F-3AFA5F1A2D36}">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openxmlformats.org/package/2006/metadata/core-properties"/>
    <ds:schemaRef ds:uri="8207817d-dc4d-4e04-9f2c-43cb2befaefb"/>
    <ds:schemaRef ds:uri="91aa0661-b5a3-4bc9-a3cf-37298ed3fc4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技術者</vt:lpstr>
      <vt:lpstr>個人まとめ</vt:lpstr>
      <vt:lpstr>個人まとめ!Print_Area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徐 良玖(Liangjiu Xu)</dc:creator>
  <cp:keywords/>
  <dc:description/>
  <cp:lastModifiedBy>李 松涛(songtao li)</cp:lastModifiedBy>
  <cp:revision/>
  <dcterms:created xsi:type="dcterms:W3CDTF">2021-12-21T04:51:29Z</dcterms:created>
  <dcterms:modified xsi:type="dcterms:W3CDTF">2025-09-19T00:21:13Z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0x01010079DB8C7CA2E3AC40864A78C2C8026274</vt:lpwstr>
  </property>
</Properties>
</file>