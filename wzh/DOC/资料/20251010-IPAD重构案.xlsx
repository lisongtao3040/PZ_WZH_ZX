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<sst xmlns="http://schemas.openxmlformats.org/spreadsheetml/2006/main" count="98" uniqueCount="48">
  <si>
    <t>### 1.1 现有系统技术栈</t>
  </si>
  <si>
    <t>- **前端技术：** ASP.NET Web Forms, HTML, CSS, JavaScript, jQuery</t>
  </si>
  <si>
    <t>- **后端技术：** VB.NET, .NET Framework 4.5</t>
  </si>
  <si>
    <t>- **数据库：** SQL Server (多个数据库连接)</t>
  </si>
  <si>
    <t>- **部署环境：** Windows Server + IIS</t>
  </si>
  <si>
    <t>### 1.2 主要功能模块</t>
  </si>
  <si>
    <t>- 用户管理与权限控制</t>
  </si>
  <si>
    <t>- 生产线主数据管理</t>
  </si>
  <si>
    <t>- 商品与检查项目管理</t>
  </si>
  <si>
    <t>- 检查流程执行与结果记录</t>
  </si>
  <si>
    <t>- 报表生成与数据分析</t>
  </si>
  <si>
    <t>- 不良品管理</t>
  </si>
  <si>
    <t>- 托盘管理</t>
  </si>
  <si>
    <t>### 1.3 页面统计</t>
  </si>
  <si>
    <t>- **主要页面数量：** 约30个核心页面</t>
  </si>
  <si>
    <t>- **用户控件：** Header/Footer等公共组件</t>
  </si>
  <si>
    <t>- **Web服务：** Result.asmx, TableApi.asmx</t>
  </si>
  <si>
    <t>- **静态资源：** CSS/JS文件约50个</t>
  </si>
  <si>
    <t>1.整体重构案　MAUI架构</t>
  </si>
  <si>
    <t>项目</t>
  </si>
  <si>
    <t>金额</t>
  </si>
  <si>
    <t>频度</t>
  </si>
  <si>
    <t>项目准备与架构设计</t>
  </si>
  <si>
    <t>后端API重构</t>
  </si>
  <si>
    <t>.NET 客户端开发</t>
  </si>
  <si>
    <t>扫码 （IPAD APP）</t>
  </si>
  <si>
    <t>游标卡尺（IPAD APP）</t>
  </si>
  <si>
    <t>马尔的卡尺 接口未公开 ，应该不可以</t>
  </si>
  <si>
    <t>游标卡尺（Win电脑端 APP）</t>
  </si>
  <si>
    <t>测量后到电脑可接收信号范围内（8米？），点卡尺上按钮，数据自动传入到IPAD</t>
  </si>
  <si>
    <t xml:space="preserve">测试与部署 </t>
  </si>
  <si>
    <t>软件许可与证书</t>
  </si>
  <si>
    <t xml:space="preserve">  Apple Developer Enterprise账号</t>
  </si>
  <si>
    <t>每年</t>
  </si>
  <si>
    <t>如果 扫码和蓝牙卡尺不修正 只用1年</t>
  </si>
  <si>
    <t xml:space="preserve">  SSL安全证书 (通配符) </t>
  </si>
  <si>
    <t xml:space="preserve">  代码签名证书</t>
  </si>
  <si>
    <t>总计</t>
  </si>
  <si>
    <r>
      <rPr>
        <b/>
        <sz val="11"/>
        <color theme="1"/>
        <rFont val="宋体"/>
        <charset val="134"/>
        <scheme val="minor"/>
      </rPr>
      <t>2.部分重构案</t>
    </r>
    <r>
      <rPr>
        <b/>
        <sz val="11"/>
        <color theme="1"/>
        <rFont val="Yu Gothic"/>
        <charset val="128"/>
      </rPr>
      <t>①</t>
    </r>
  </si>
  <si>
    <t>.NET 客户端开发（中度适配IPAD）</t>
  </si>
  <si>
    <t>扫码    （Win电脑端 APP）</t>
  </si>
  <si>
    <t>到自己区域的电脑上操作，数据自动传入到IPAD、（无线扫描枪可解决，不受距离限制）</t>
  </si>
  <si>
    <t>测量后到电脑可接收信号范围内，点卡尺上按钮，数据自动传入到IPAD</t>
  </si>
  <si>
    <t>3.部分重构案②</t>
  </si>
  <si>
    <t>部分重构</t>
  </si>
  <si>
    <r>
      <t>4.</t>
    </r>
    <r>
      <rPr>
        <b/>
        <sz val="11"/>
        <color theme="1"/>
        <rFont val="宋体"/>
        <charset val="134"/>
      </rPr>
      <t>最简方案</t>
    </r>
  </si>
  <si>
    <t>.NET 客户端开发（轻度适配IPAD）</t>
  </si>
  <si>
    <t>部分重构（PAD只针对检查画面，其他画面不看）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</si>
</sst>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1"/>
      <color theme="1"/>
      <name val="Yu Gothic"/>
      <charset val="128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b/>
      <sz val="11"/>
      <color theme="1"/>
      <name val="Yu Gothic"/>
      <charset val="128"/>
    </font>
  </fonts>
  <fills count="3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2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49" fontId="2" fillId="0" borderId="2" xfId="0" applyNumberFormat="1" applyFont="1" applyBorder="1">
      <alignment vertical="center"/>
    </xf>
    <xf numFmtId="0" fontId="2" fillId="0" borderId="2" xfId="0" applyNumberFormat="1" applyFont="1" applyBorder="1">
      <alignment vertical="center"/>
    </xf>
    <xf numFmtId="49" fontId="3" fillId="2" borderId="3" xfId="0" applyNumberFormat="1" applyFont="1" applyFill="1" applyBorder="1">
      <alignment vertical="center"/>
    </xf>
    <xf numFmtId="176" fontId="3" fillId="2" borderId="4" xfId="0" applyNumberFormat="1" applyFont="1" applyFill="1" applyBorder="1">
      <alignment vertical="center"/>
    </xf>
    <xf numFmtId="49" fontId="3" fillId="2" borderId="5" xfId="0" applyNumberFormat="1" applyFont="1" applyFill="1" applyBorder="1">
      <alignment vertical="center"/>
    </xf>
    <xf numFmtId="49" fontId="3" fillId="0" borderId="0" xfId="0" applyNumberFormat="1" applyFont="1">
      <alignment vertical="center"/>
    </xf>
    <xf numFmtId="49" fontId="2" fillId="0" borderId="6" xfId="0" applyNumberFormat="1" applyFont="1" applyBorder="1">
      <alignment vertical="center"/>
    </xf>
    <xf numFmtId="0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0" xfId="0" applyNumberFormat="1" applyFont="1">
      <alignment vertical="center"/>
    </xf>
    <xf numFmtId="49" fontId="2" fillId="0" borderId="9" xfId="0" applyNumberFormat="1" applyFont="1" applyBorder="1">
      <alignment vertical="center"/>
    </xf>
    <xf numFmtId="0" fontId="2" fillId="0" borderId="9" xfId="0" applyNumberFormat="1" applyFont="1" applyBorder="1">
      <alignment vertical="center"/>
    </xf>
    <xf numFmtId="0" fontId="2" fillId="0" borderId="1" xfId="0" applyNumberFormat="1" applyFont="1" applyBorder="1">
      <alignment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NumberFormat="1" applyFont="1">
      <alignment vertical="center"/>
    </xf>
    <xf numFmtId="49" fontId="4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79"/>
  <sheetViews>
    <sheetView tabSelected="1" zoomScale="130" zoomScaleNormal="130" topLeftCell="A45" workbookViewId="0">
      <selection activeCell="D64" sqref="D64"/>
    </sheetView>
  </sheetViews>
  <sheetFormatPr defaultColWidth="9" defaultRowHeight="13.5" outlineLevelCol="7"/>
  <cols>
    <col min="1" max="2" width="9" style="1"/>
    <col min="3" max="3" width="35.75" style="1" customWidth="1"/>
    <col min="4" max="4" width="10.5" style="1" customWidth="1"/>
    <col min="5" max="16384" width="9" style="1"/>
  </cols>
  <sheetData>
    <row r="3" spans="1:1">
      <c r="A3" s="1" t="s">
        <v>0</v>
      </c>
    </row>
    <row r="4" spans="1:1">
      <c r="A4" s="1" t="s">
        <v>1</v>
      </c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9" spans="1:1">
      <c r="A9" s="1" t="s">
        <v>5</v>
      </c>
    </row>
    <row r="10" spans="1:1">
      <c r="A10" s="1" t="s">
        <v>6</v>
      </c>
    </row>
    <row r="11" spans="1:1">
      <c r="A11" s="1" t="s">
        <v>7</v>
      </c>
    </row>
    <row r="12" spans="1:1">
      <c r="A12" s="1" t="s">
        <v>8</v>
      </c>
    </row>
    <row r="13" spans="1:1">
      <c r="A13" s="1" t="s">
        <v>9</v>
      </c>
    </row>
    <row r="14" spans="1:1">
      <c r="A14" s="1" t="s">
        <v>10</v>
      </c>
    </row>
    <row r="15" spans="1:1">
      <c r="A15" s="1" t="s">
        <v>11</v>
      </c>
    </row>
    <row r="16" spans="1:1">
      <c r="A16" s="1" t="s">
        <v>12</v>
      </c>
    </row>
    <row r="18" spans="1:1">
      <c r="A18" s="1" t="s">
        <v>13</v>
      </c>
    </row>
    <row r="19" spans="1:1">
      <c r="A19" s="1" t="s">
        <v>14</v>
      </c>
    </row>
    <row r="20" spans="1:1">
      <c r="A20" s="1" t="s">
        <v>15</v>
      </c>
    </row>
    <row r="21" spans="1:1">
      <c r="A21" s="1" t="s">
        <v>16</v>
      </c>
    </row>
    <row r="22" spans="1:1">
      <c r="A22" s="1" t="s">
        <v>17</v>
      </c>
    </row>
    <row r="25" spans="2:2">
      <c r="B25" s="2" t="s">
        <v>18</v>
      </c>
    </row>
    <row r="26" spans="2:5">
      <c r="B26" s="2"/>
      <c r="C26" s="3" t="s">
        <v>19</v>
      </c>
      <c r="D26" s="3" t="s">
        <v>20</v>
      </c>
      <c r="E26" s="3" t="s">
        <v>21</v>
      </c>
    </row>
    <row r="27" spans="3:5">
      <c r="C27" s="4" t="s">
        <v>22</v>
      </c>
      <c r="D27" s="5">
        <v>3000</v>
      </c>
      <c r="E27" s="3"/>
    </row>
    <row r="28" spans="3:5">
      <c r="C28" s="4" t="s">
        <v>23</v>
      </c>
      <c r="D28" s="5">
        <v>7000</v>
      </c>
      <c r="E28" s="3"/>
    </row>
    <row r="29" spans="3:5">
      <c r="C29" s="3" t="s">
        <v>24</v>
      </c>
      <c r="D29" s="5">
        <v>16000</v>
      </c>
      <c r="E29" s="3"/>
    </row>
    <row r="30" ht="14.25" spans="3:5">
      <c r="C30" s="6" t="s">
        <v>25</v>
      </c>
      <c r="D30" s="7">
        <v>8000</v>
      </c>
      <c r="E30" s="6"/>
    </row>
    <row r="31" spans="3:8">
      <c r="C31" s="8" t="s">
        <v>26</v>
      </c>
      <c r="D31" s="9">
        <v>10000</v>
      </c>
      <c r="E31" s="10"/>
      <c r="F31" s="11" t="s">
        <v>27</v>
      </c>
      <c r="G31" s="11"/>
      <c r="H31" s="11"/>
    </row>
    <row r="32" ht="14.25" spans="3:6">
      <c r="C32" s="12" t="s">
        <v>28</v>
      </c>
      <c r="D32" s="13">
        <v>4000</v>
      </c>
      <c r="E32" s="14"/>
      <c r="F32" s="15" t="s">
        <v>29</v>
      </c>
    </row>
    <row r="33" spans="3:5">
      <c r="C33" s="16" t="s">
        <v>30</v>
      </c>
      <c r="D33" s="17">
        <v>7000</v>
      </c>
      <c r="E33" s="16"/>
    </row>
    <row r="34" spans="3:5">
      <c r="C34" s="3" t="s">
        <v>31</v>
      </c>
      <c r="D34" s="5"/>
      <c r="E34" s="4"/>
    </row>
    <row r="35" spans="3:6">
      <c r="C35" s="3" t="s">
        <v>32</v>
      </c>
      <c r="D35" s="18">
        <v>2500</v>
      </c>
      <c r="E35" s="3" t="s">
        <v>33</v>
      </c>
      <c r="F35" s="15" t="s">
        <v>34</v>
      </c>
    </row>
    <row r="36" spans="3:5">
      <c r="C36" s="3" t="s">
        <v>35</v>
      </c>
      <c r="D36" s="18">
        <v>1500</v>
      </c>
      <c r="E36" s="3" t="s">
        <v>33</v>
      </c>
    </row>
    <row r="37" spans="3:5">
      <c r="C37" s="3" t="s">
        <v>36</v>
      </c>
      <c r="D37" s="18">
        <v>800</v>
      </c>
      <c r="E37" s="3" t="s">
        <v>33</v>
      </c>
    </row>
    <row r="38" spans="3:4">
      <c r="C38" s="19" t="s">
        <v>37</v>
      </c>
      <c r="D38" s="20">
        <f>SUM(D27:D37)-10000</f>
        <v>49800</v>
      </c>
    </row>
    <row r="42" ht="18" spans="2:2">
      <c r="B42" s="2" t="s">
        <v>38</v>
      </c>
    </row>
    <row r="43" spans="2:5">
      <c r="B43" s="2"/>
      <c r="C43" s="3" t="s">
        <v>19</v>
      </c>
      <c r="D43" s="3" t="s">
        <v>20</v>
      </c>
      <c r="E43" s="3" t="s">
        <v>21</v>
      </c>
    </row>
    <row r="44" spans="3:5">
      <c r="C44" s="4" t="s">
        <v>22</v>
      </c>
      <c r="D44" s="5">
        <v>1000</v>
      </c>
      <c r="E44" s="3"/>
    </row>
    <row r="45" spans="3:5">
      <c r="C45" s="4" t="s">
        <v>23</v>
      </c>
      <c r="D45" s="5">
        <v>4000</v>
      </c>
      <c r="E45" s="3"/>
    </row>
    <row r="46" spans="3:5">
      <c r="C46" s="3" t="s">
        <v>39</v>
      </c>
      <c r="D46" s="5">
        <v>8000</v>
      </c>
      <c r="E46" s="3"/>
    </row>
    <row r="47" spans="3:6">
      <c r="C47" s="3" t="s">
        <v>40</v>
      </c>
      <c r="D47" s="18">
        <v>2000</v>
      </c>
      <c r="E47" s="3"/>
      <c r="F47" s="15" t="s">
        <v>41</v>
      </c>
    </row>
    <row r="48" spans="3:6">
      <c r="C48" s="3" t="s">
        <v>28</v>
      </c>
      <c r="D48" s="18">
        <v>4000</v>
      </c>
      <c r="E48" s="3"/>
      <c r="F48" s="15" t="s">
        <v>42</v>
      </c>
    </row>
    <row r="49" spans="3:5">
      <c r="C49" s="3" t="s">
        <v>30</v>
      </c>
      <c r="D49" s="18">
        <v>3000</v>
      </c>
      <c r="E49" s="3"/>
    </row>
    <row r="50" spans="3:5">
      <c r="C50" s="3" t="s">
        <v>31</v>
      </c>
      <c r="D50" s="5"/>
      <c r="E50" s="4"/>
    </row>
    <row r="51" spans="3:6">
      <c r="C51" s="3" t="s">
        <v>32</v>
      </c>
      <c r="D51" s="18">
        <v>0</v>
      </c>
      <c r="E51" s="3" t="s">
        <v>33</v>
      </c>
      <c r="F51" s="15" t="s">
        <v>34</v>
      </c>
    </row>
    <row r="52" spans="3:5">
      <c r="C52" s="3" t="s">
        <v>35</v>
      </c>
      <c r="D52" s="18">
        <v>0</v>
      </c>
      <c r="E52" s="3" t="s">
        <v>33</v>
      </c>
    </row>
    <row r="53" spans="3:5">
      <c r="C53" s="3" t="s">
        <v>36</v>
      </c>
      <c r="D53" s="18">
        <v>0</v>
      </c>
      <c r="E53" s="3" t="s">
        <v>33</v>
      </c>
    </row>
    <row r="54" spans="3:4">
      <c r="C54" s="19" t="s">
        <v>37</v>
      </c>
      <c r="D54" s="20">
        <f>SUM(D44:D53)</f>
        <v>22000</v>
      </c>
    </row>
    <row r="57" spans="2:2">
      <c r="B57" s="2" t="s">
        <v>43</v>
      </c>
    </row>
    <row r="58" spans="2:5">
      <c r="B58" s="2"/>
      <c r="C58" s="3" t="s">
        <v>19</v>
      </c>
      <c r="D58" s="3" t="s">
        <v>20</v>
      </c>
      <c r="E58" s="3" t="s">
        <v>21</v>
      </c>
    </row>
    <row r="59" spans="3:6">
      <c r="C59" s="4" t="s">
        <v>22</v>
      </c>
      <c r="D59" s="5">
        <v>1000</v>
      </c>
      <c r="E59" s="3"/>
      <c r="F59" s="15" t="s">
        <v>44</v>
      </c>
    </row>
    <row r="60" spans="3:6">
      <c r="C60" s="4" t="s">
        <v>23</v>
      </c>
      <c r="D60" s="5">
        <v>4000</v>
      </c>
      <c r="E60" s="3"/>
      <c r="F60" s="15" t="s">
        <v>44</v>
      </c>
    </row>
    <row r="61" spans="3:6">
      <c r="C61" s="3" t="s">
        <v>39</v>
      </c>
      <c r="D61" s="5">
        <v>8000</v>
      </c>
      <c r="E61" s="3"/>
      <c r="F61" s="15" t="s">
        <v>44</v>
      </c>
    </row>
    <row r="62" spans="3:5">
      <c r="C62" s="3" t="s">
        <v>25</v>
      </c>
      <c r="D62" s="18">
        <v>8000</v>
      </c>
      <c r="E62" s="3"/>
    </row>
    <row r="63" spans="3:6">
      <c r="C63" s="3" t="s">
        <v>28</v>
      </c>
      <c r="D63" s="18">
        <v>4000</v>
      </c>
      <c r="E63" s="3"/>
      <c r="F63" s="15" t="s">
        <v>29</v>
      </c>
    </row>
    <row r="64" spans="3:5">
      <c r="C64" s="3" t="s">
        <v>30</v>
      </c>
      <c r="D64" s="18">
        <v>5000</v>
      </c>
      <c r="E64" s="3"/>
    </row>
    <row r="65" spans="3:5">
      <c r="C65" s="3" t="s">
        <v>31</v>
      </c>
      <c r="D65" s="5"/>
      <c r="E65" s="4"/>
    </row>
    <row r="66" spans="3:6">
      <c r="C66" s="3" t="s">
        <v>32</v>
      </c>
      <c r="D66" s="18">
        <v>2500</v>
      </c>
      <c r="E66" s="3" t="s">
        <v>33</v>
      </c>
      <c r="F66" s="15" t="s">
        <v>34</v>
      </c>
    </row>
    <row r="67" spans="3:5">
      <c r="C67" s="3" t="s">
        <v>35</v>
      </c>
      <c r="D67" s="18">
        <v>1500</v>
      </c>
      <c r="E67" s="3" t="s">
        <v>33</v>
      </c>
    </row>
    <row r="68" spans="3:5">
      <c r="C68" s="3" t="s">
        <v>36</v>
      </c>
      <c r="D68" s="18">
        <v>800</v>
      </c>
      <c r="E68" s="3" t="s">
        <v>33</v>
      </c>
    </row>
    <row r="69" spans="3:4">
      <c r="C69" s="19" t="s">
        <v>37</v>
      </c>
      <c r="D69" s="20">
        <f>SUM(D59:D68)</f>
        <v>34800</v>
      </c>
    </row>
    <row r="72" ht="18.75" spans="2:2">
      <c r="B72" s="21" t="s">
        <v>45</v>
      </c>
    </row>
    <row r="73" spans="3:5">
      <c r="C73" s="3" t="s">
        <v>19</v>
      </c>
      <c r="D73" s="3" t="s">
        <v>20</v>
      </c>
      <c r="E73" s="3" t="s">
        <v>21</v>
      </c>
    </row>
    <row r="74" spans="3:6">
      <c r="C74" s="3" t="s">
        <v>23</v>
      </c>
      <c r="D74" s="5">
        <v>3000</v>
      </c>
      <c r="E74" s="3"/>
      <c r="F74" s="15" t="s">
        <v>44</v>
      </c>
    </row>
    <row r="75" spans="3:6">
      <c r="C75" s="3" t="s">
        <v>46</v>
      </c>
      <c r="D75" s="5">
        <v>4000</v>
      </c>
      <c r="E75" s="3"/>
      <c r="F75" s="15" t="s">
        <v>47</v>
      </c>
    </row>
    <row r="76" spans="3:6">
      <c r="C76" s="3" t="s">
        <v>40</v>
      </c>
      <c r="D76" s="18">
        <v>2000</v>
      </c>
      <c r="E76" s="3"/>
      <c r="F76" s="15" t="s">
        <v>41</v>
      </c>
    </row>
    <row r="77" spans="3:6">
      <c r="C77" s="3" t="s">
        <v>28</v>
      </c>
      <c r="D77" s="18">
        <v>4000</v>
      </c>
      <c r="E77" s="3"/>
      <c r="F77" s="15" t="s">
        <v>29</v>
      </c>
    </row>
    <row r="78" spans="3:5">
      <c r="C78" s="3" t="s">
        <v>30</v>
      </c>
      <c r="D78" s="18">
        <v>2000</v>
      </c>
      <c r="E78" s="3"/>
    </row>
    <row r="79" spans="3:4">
      <c r="C79" s="19" t="s">
        <v>37</v>
      </c>
      <c r="D79" s="20">
        <f>SUM(D74:D78)</f>
        <v>15000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2025-10-13T07:42:32Z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4E8220CB18954F5ABB3E6B408A6E3147_12</vt:lpwstr>
  </property>
</Properties>
</file>